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su-KiyametdinovIH\Downloads\"/>
    </mc:Choice>
  </mc:AlternateContent>
  <xr:revisionPtr revIDLastSave="0" documentId="13_ncr:1_{1192BC63-A9E7-4E8F-9CD8-3377DD0CD17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Сотрудники КЭР" sheetId="2" r:id="rId1"/>
    <sheet name="Сотрудники УЭС" sheetId="3" r:id="rId2"/>
    <sheet name="Сотрудники КАРНО" sheetId="4" r:id="rId3"/>
    <sheet name="Сотрудники АЙВИС" sheetId="5" r:id="rId4"/>
    <sheet name="Внештаные сотрудники" sheetId="6" r:id="rId5"/>
    <sheet name="Совместительство" sheetId="7" r:id="rId6"/>
    <sheet name="Отделы" sheetId="8" r:id="rId7"/>
    <sheet name="Список книг" sheetId="9" r:id="rId8"/>
    <sheet name="Список контрагентов" sheetId="10" r:id="rId9"/>
    <sheet name="temp" sheetId="11" r:id="rId10"/>
    <sheet name="old Отделы 2020" sheetId="12" state="hidden" r:id="rId11"/>
    <sheet name="Test" sheetId="13" state="hidden" r:id="rId12"/>
  </sheets>
  <definedNames>
    <definedName name="_xlnm._FilterDatabase" localSheetId="2" hidden="1">'Сотрудники КАРНО'!$A$2:$N$6</definedName>
    <definedName name="_xlnm._FilterDatabase" localSheetId="0" hidden="1">'Сотрудники КЭР'!$A$1:$P$112</definedName>
    <definedName name="_xlnm._FilterDatabase" localSheetId="1" hidden="1">'Сотрудники УЭС'!$A$2:$N$43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5" i="11" l="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E23" i="9"/>
  <c r="D23" i="9"/>
  <c r="B23" i="9"/>
  <c r="A23" i="9"/>
  <c r="E22" i="9"/>
  <c r="D22" i="9"/>
  <c r="B22" i="9"/>
  <c r="A22" i="9"/>
  <c r="E21" i="9"/>
  <c r="D21" i="9"/>
  <c r="B21" i="9"/>
  <c r="A21" i="9"/>
  <c r="E20" i="9"/>
  <c r="D20" i="9"/>
  <c r="B20" i="9"/>
  <c r="A20" i="9"/>
  <c r="E19" i="9"/>
  <c r="D19" i="9"/>
  <c r="B19" i="9"/>
  <c r="A19" i="9"/>
  <c r="E18" i="9"/>
  <c r="D18" i="9"/>
  <c r="B18" i="9"/>
  <c r="A18" i="9"/>
  <c r="E17" i="9"/>
  <c r="D17" i="9"/>
  <c r="B17" i="9"/>
  <c r="A17" i="9"/>
  <c r="E16" i="9"/>
  <c r="D16" i="9"/>
  <c r="B16" i="9"/>
  <c r="A16" i="9"/>
  <c r="E15" i="9"/>
  <c r="D15" i="9"/>
  <c r="B15" i="9"/>
  <c r="A15" i="9"/>
  <c r="E14" i="9"/>
  <c r="D14" i="9"/>
  <c r="B14" i="9"/>
  <c r="A14" i="9"/>
  <c r="E13" i="9"/>
  <c r="D13" i="9"/>
  <c r="B13" i="9"/>
  <c r="A13" i="9"/>
  <c r="E12" i="9"/>
  <c r="D12" i="9"/>
  <c r="B12" i="9"/>
  <c r="A12" i="9"/>
  <c r="E11" i="9"/>
  <c r="D11" i="9"/>
  <c r="B11" i="9"/>
  <c r="A11" i="9"/>
  <c r="E10" i="9"/>
  <c r="D10" i="9"/>
  <c r="B10" i="9"/>
  <c r="A10" i="9"/>
  <c r="E9" i="9"/>
  <c r="D9" i="9"/>
  <c r="B9" i="9"/>
  <c r="A9" i="9"/>
  <c r="E8" i="9"/>
  <c r="D8" i="9"/>
  <c r="B8" i="9"/>
  <c r="A8" i="9"/>
  <c r="E7" i="9"/>
  <c r="D7" i="9"/>
  <c r="B7" i="9"/>
  <c r="A7" i="9"/>
  <c r="E6" i="9"/>
  <c r="D6" i="9"/>
  <c r="B6" i="9"/>
  <c r="A6" i="9"/>
  <c r="E5" i="9"/>
  <c r="D5" i="9"/>
  <c r="B5" i="9"/>
  <c r="A5" i="9"/>
  <c r="E4" i="9"/>
  <c r="D4" i="9"/>
  <c r="B4" i="9"/>
  <c r="A4" i="9"/>
  <c r="E3" i="9"/>
  <c r="D3" i="9"/>
  <c r="B3" i="9"/>
  <c r="F3" i="7"/>
  <c r="G1" i="7"/>
  <c r="F7" i="6"/>
  <c r="F6" i="6"/>
  <c r="F5" i="6"/>
  <c r="F3" i="6"/>
  <c r="G1" i="6"/>
  <c r="F8" i="5"/>
  <c r="F7" i="5"/>
  <c r="F6" i="5"/>
  <c r="F5" i="5"/>
  <c r="F4" i="5"/>
  <c r="F3" i="5"/>
  <c r="G1" i="5"/>
  <c r="F6" i="4"/>
  <c r="F5" i="4"/>
  <c r="F4" i="4"/>
  <c r="F3" i="4"/>
  <c r="G1" i="4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G1" i="3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<sst xmlns="http://schemas.openxmlformats.org/spreadsheetml/2006/main" count="7305" uniqueCount="4323">
  <si>
    <t>Штатное расписание</t>
  </si>
  <si>
    <t xml:space="preserve">последний элемент списка
</t>
  </si>
  <si>
    <t>Таб.ном.</t>
  </si>
  <si>
    <t>ФИО</t>
  </si>
  <si>
    <t>Подразделение</t>
  </si>
  <si>
    <t>Руководитель службы/Доступ к расчету КТУ</t>
  </si>
  <si>
    <t>А-Я</t>
  </si>
  <si>
    <t>Сокр ФИО</t>
  </si>
  <si>
    <t>Руководитель в офисе</t>
  </si>
  <si>
    <t xml:space="preserve"> Осн. Почта для доступа</t>
  </si>
  <si>
    <t>Осн. тлф</t>
  </si>
  <si>
    <t>Фирма</t>
  </si>
  <si>
    <t>Город</t>
  </si>
  <si>
    <t>Должность</t>
  </si>
  <si>
    <t>Статус</t>
  </si>
  <si>
    <t>Доп. Почта</t>
  </si>
  <si>
    <t>Доп. тлф</t>
  </si>
  <si>
    <t>Доп. тлф. домашний</t>
  </si>
  <si>
    <t>Акмаев Дмитрий Дамирович</t>
  </si>
  <si>
    <t>Служба ПО</t>
  </si>
  <si>
    <t>нет</t>
  </si>
  <si>
    <t>add.keravt@gmail.com</t>
  </si>
  <si>
    <t>+7(905)373-30-56</t>
  </si>
  <si>
    <t>ООО "КЭР-Автоматика"</t>
  </si>
  <si>
    <t>г. Набережные Челны</t>
  </si>
  <si>
    <t>Инженер-программист второй категории</t>
  </si>
  <si>
    <t>Работает</t>
  </si>
  <si>
    <t>goreuu@gmail.com</t>
  </si>
  <si>
    <t>Антипова Любовь Николаевна</t>
  </si>
  <si>
    <t>Бухгалтерия</t>
  </si>
  <si>
    <t>Прасолова Виктория Анатольевна</t>
  </si>
  <si>
    <t>Aln.keravt@gmail.com</t>
  </si>
  <si>
    <t>+7 (927) 048-07-60</t>
  </si>
  <si>
    <t>Заместитель главного бухгалтера</t>
  </si>
  <si>
    <t>Ануфриев Сергей Эдуардович</t>
  </si>
  <si>
    <t>Служба диагностики и ТК</t>
  </si>
  <si>
    <t>да</t>
  </si>
  <si>
    <t>ase.keravt@gmail.com</t>
  </si>
  <si>
    <t>+7 (967) 460-21-77</t>
  </si>
  <si>
    <t>г. Нижнекамск</t>
  </si>
  <si>
    <t>Начальник службы диагностики и технического контроля</t>
  </si>
  <si>
    <t>Бабошкина Татьяна Михайловна</t>
  </si>
  <si>
    <t>btm.keravt@gmail.com</t>
  </si>
  <si>
    <t>+7(917) 861-53-60</t>
  </si>
  <si>
    <t>Бухгалтер</t>
  </si>
  <si>
    <t>Белоногов Андрей Николаевич</t>
  </si>
  <si>
    <t>Уч. ремонта и ТО КИПиА и АСУТП (НК)</t>
  </si>
  <si>
    <t>+7 (917) 852-29-16</t>
  </si>
  <si>
    <t>Ведущий инженер по наладке и испытаниям</t>
  </si>
  <si>
    <t>Болеет</t>
  </si>
  <si>
    <t>a13andy-fish@mail.ru</t>
  </si>
  <si>
    <t>Бирюков Антон Юрьевич</t>
  </si>
  <si>
    <t>Служба РП</t>
  </si>
  <si>
    <t>BAY.keravt@gmail.com</t>
  </si>
  <si>
    <t>+7 (967) 460-18-53</t>
  </si>
  <si>
    <t>г. Казань</t>
  </si>
  <si>
    <t>Начальник службы проектирования и инженерных изысканий</t>
  </si>
  <si>
    <t>Бойцов Дмитрий Николаевич</t>
  </si>
  <si>
    <t>ОЗиМТО</t>
  </si>
  <si>
    <t>Галкин Владимир Александрович</t>
  </si>
  <si>
    <t>BDN.keravt@gmail.com</t>
  </si>
  <si>
    <t>+7 (960) 062-11-21</t>
  </si>
  <si>
    <t>Ведущий инженер по снабжению</t>
  </si>
  <si>
    <t>bdn.keravt@gmail.com</t>
  </si>
  <si>
    <t>Бойцова Гюзель Рамильевна</t>
  </si>
  <si>
    <t>bgr.keravt@gmail.com</t>
  </si>
  <si>
    <t>+7 (960) 062-05-40</t>
  </si>
  <si>
    <t>Экономист по снабжению</t>
  </si>
  <si>
    <t>+7 (8552) 91-66-11</t>
  </si>
  <si>
    <t>Бурдин Александр Сергеевич</t>
  </si>
  <si>
    <t>Служба наладки</t>
  </si>
  <si>
    <t>BAS.keravt@gmail.com</t>
  </si>
  <si>
    <t>+7 (967) 460-18-54</t>
  </si>
  <si>
    <t>г. Елабуга</t>
  </si>
  <si>
    <t>Бурунин Владимир Игоревич</t>
  </si>
  <si>
    <t>BVI.keravt@gmail.com</t>
  </si>
  <si>
    <t>+7 (960) 062-14-27</t>
  </si>
  <si>
    <t>Начальник службы программного обеспечения</t>
  </si>
  <si>
    <t>Васильев Эдуард Андреевич</t>
  </si>
  <si>
    <t>vea.keravt@gmail.com</t>
  </si>
  <si>
    <t>+7 (987) 287-67-34</t>
  </si>
  <si>
    <t>Инженер-программист третьей категории</t>
  </si>
  <si>
    <t>Волков Денис Николаевич</t>
  </si>
  <si>
    <t>Служба ГС</t>
  </si>
  <si>
    <t>VDN.keravt@gmail.com</t>
  </si>
  <si>
    <t>+7 (960) 062-13-35</t>
  </si>
  <si>
    <t>Руководитель проектов</t>
  </si>
  <si>
    <t>Волкова Лиана Илдаровна</t>
  </si>
  <si>
    <t>Тендерный отдел</t>
  </si>
  <si>
    <t>VLI.keravt@gmail.com</t>
  </si>
  <si>
    <t>+7 (966) 240-01-68</t>
  </si>
  <si>
    <t>Инженер по тендерной работе первой категории</t>
  </si>
  <si>
    <t>Воронов Артемий Анатольевич</t>
  </si>
  <si>
    <t>Уч. сборки</t>
  </si>
  <si>
    <t>voronovaa.keravt@gmail.com</t>
  </si>
  <si>
    <t>+7 927 469-23-25</t>
  </si>
  <si>
    <t>Электрослесарь по обслуживанию и ремонту оборудования третьего разряда</t>
  </si>
  <si>
    <t>voronovaa1998@gmail.com</t>
  </si>
  <si>
    <t>Ворсина Ирина Александровна</t>
  </si>
  <si>
    <t>via@keravt.net</t>
  </si>
  <si>
    <t>+7 (965) 600-04-07</t>
  </si>
  <si>
    <t>+7 (906) 116-72-06</t>
  </si>
  <si>
    <t>+7 (8552) 91-55-22</t>
  </si>
  <si>
    <t>Гайнутдинов Дамир Фирдинатович</t>
  </si>
  <si>
    <t>GDF.keravt@gmail.com</t>
  </si>
  <si>
    <t>+7 (967) 460-18-56</t>
  </si>
  <si>
    <t>Ведущий инженер-программист</t>
  </si>
  <si>
    <t>Галиева Ксения Валерьевна</t>
  </si>
  <si>
    <t>Управление</t>
  </si>
  <si>
    <t>Серебрякова Ирина Николаевна</t>
  </si>
  <si>
    <t>gkv@keravt.net</t>
  </si>
  <si>
    <t>+7(919)691-71-69</t>
  </si>
  <si>
    <t>Экономист по финансовой работе</t>
  </si>
  <si>
    <t>Галимуллин Ришат Шамилович</t>
  </si>
  <si>
    <t>GRSH.keravt@gmail.com</t>
  </si>
  <si>
    <t>+7 967 460 1455</t>
  </si>
  <si>
    <t>Галиуллин Халил Хафизович</t>
  </si>
  <si>
    <t>Электрослесарь по ремонту и обслуживанию автоматики и средств измерений электростанций седьмого разряда</t>
  </si>
  <si>
    <t>galiullinhh8@gmail.com</t>
  </si>
  <si>
    <t>+7 (917) 860-49-62</t>
  </si>
  <si>
    <t>Гарифуллин Рим Ризаевич</t>
  </si>
  <si>
    <t>GRR.keravt@gmail.com</t>
  </si>
  <si>
    <t>+7 (937)276-90-44</t>
  </si>
  <si>
    <t>Инженер-проектировщик первой категории</t>
  </si>
  <si>
    <t>rizaevich@rambler.ru</t>
  </si>
  <si>
    <t>Гафурова Оксана Владимировна</t>
  </si>
  <si>
    <t>gov@keravt.net</t>
  </si>
  <si>
    <t>+7 (987) 189-92-79</t>
  </si>
  <si>
    <t>Гильфанов Радик Хуснимухаметович</t>
  </si>
  <si>
    <t>+7 (960) 062-14-59</t>
  </si>
  <si>
    <t>Агент по снабжению</t>
  </si>
  <si>
    <t>radja_xxx@mail.ru</t>
  </si>
  <si>
    <t>+7 (917) 278-62-64</t>
  </si>
  <si>
    <t>Гоголева Ирина Ханифовна</t>
  </si>
  <si>
    <t>+7 (987) 294-72-52</t>
  </si>
  <si>
    <t>Инженер по проектно-сметной работе</t>
  </si>
  <si>
    <t>irgogoleva@bk.ru</t>
  </si>
  <si>
    <t>Григорьева Елена Станиславна</t>
  </si>
  <si>
    <t>GES.keravt@gmail.com</t>
  </si>
  <si>
    <t>+7 (937) 526-53-96</t>
  </si>
  <si>
    <t>Ведущий инженер-проектировщик</t>
  </si>
  <si>
    <t>Губаев Ильдар Найлевич</t>
  </si>
  <si>
    <t>gin.keravt@gmail.com</t>
  </si>
  <si>
    <t>+7 (939) 381-15-35</t>
  </si>
  <si>
    <t>Гурьянов Андрей Николаевич</t>
  </si>
  <si>
    <t>Инженер по обслуживанию охранно-пожарной сигнализации</t>
  </si>
  <si>
    <t>gur-andrei2010@mail.ru</t>
  </si>
  <si>
    <t>8(917)282-85-68</t>
  </si>
  <si>
    <t>Дарвиш Самер Юсеф Мустафа</t>
  </si>
  <si>
    <t>+7(965) 588-59-82</t>
  </si>
  <si>
    <t>Начальник участка</t>
  </si>
  <si>
    <t>dsy.keravt@gmail.com</t>
  </si>
  <si>
    <t>Дмитриченко Дмитрий Федорович</t>
  </si>
  <si>
    <t>+7 (917) 294-56-54</t>
  </si>
  <si>
    <t>Инженер по наладке и испытаниям первой категории</t>
  </si>
  <si>
    <t>dmitrichenko.dimitri@yandex.ru</t>
  </si>
  <si>
    <t>Дорогов Иван Владимирович</t>
  </si>
  <si>
    <t>DIV.keravt@gmail.com</t>
  </si>
  <si>
    <t>+7 (996) 558-32-79</t>
  </si>
  <si>
    <t>г. Томск</t>
  </si>
  <si>
    <t>dorogov-i@yandex.ru</t>
  </si>
  <si>
    <t>+7 (771) 120-35-97</t>
  </si>
  <si>
    <t>Дьякова Ольга Валерьевна</t>
  </si>
  <si>
    <t>Отдел поддержки ПО</t>
  </si>
  <si>
    <t>dov.keravt@gmail.com</t>
  </si>
  <si>
    <t>+7 (960) 069-01-46</t>
  </si>
  <si>
    <t>Начальник отдела поддержки программного обеспечения</t>
  </si>
  <si>
    <t>dov@keravt.net</t>
  </si>
  <si>
    <t>Егоров Степан Владимирович</t>
  </si>
  <si>
    <t>esv.keravt@gmail.com</t>
  </si>
  <si>
    <t>+7 (965) 588-45-57</t>
  </si>
  <si>
    <t>egorovstepan@mail.ru</t>
  </si>
  <si>
    <t>+7 (965) 588-57-04</t>
  </si>
  <si>
    <t>Ермолаева Роза Ринатовна</t>
  </si>
  <si>
    <t>Отдел подготовки ТД</t>
  </si>
  <si>
    <t>ERR.keravt@gmail.com</t>
  </si>
  <si>
    <t>+7 (967) 460-21-59</t>
  </si>
  <si>
    <t>Инженер</t>
  </si>
  <si>
    <t>Зарянова Диана Васильевна</t>
  </si>
  <si>
    <t>zdv.keravt@gmail.com</t>
  </si>
  <si>
    <t>+7 (960) 062-21-75</t>
  </si>
  <si>
    <t>Начальник тендерного отдела</t>
  </si>
  <si>
    <t>Зыков Николай Александрович</t>
  </si>
  <si>
    <t>aloriks25z@yandex.ru</t>
  </si>
  <si>
    <t>+7 (917) 939-32-66</t>
  </si>
  <si>
    <t>Ибрагимов Ирек Азатович</t>
  </si>
  <si>
    <t>ibragimovia.keravt@gmail.com</t>
  </si>
  <si>
    <t>+7(987)413-18-68</t>
  </si>
  <si>
    <t>Инженер по наладке и испытаниям</t>
  </si>
  <si>
    <t>irek.ibragimov.1990@mail.ru</t>
  </si>
  <si>
    <t>Иванов Юрий Владимирович</t>
  </si>
  <si>
    <t>+7 (962) 571-98-35</t>
  </si>
  <si>
    <t>Электрослесарь по ремонту и обслуживанию автоматики и средств измерений электростанций четвертого разряда</t>
  </si>
  <si>
    <t>urij0035@gmail.com</t>
  </si>
  <si>
    <t>Илалова Мария Николаевна</t>
  </si>
  <si>
    <t>IMN.keravt@gmail.com</t>
  </si>
  <si>
    <t>+7 (967) 460-18-55</t>
  </si>
  <si>
    <t>+7 (906) 120-00-22</t>
  </si>
  <si>
    <t>Исаева Ольга Александровна</t>
  </si>
  <si>
    <t>Отдел кадров</t>
  </si>
  <si>
    <t>IOA.keravt@gmail.com</t>
  </si>
  <si>
    <t>+7 (960) 062-07-19</t>
  </si>
  <si>
    <t>Начальник отдела кадров</t>
  </si>
  <si>
    <t>ioa@keravt.net</t>
  </si>
  <si>
    <t>+7 (8552) 91-44-22</t>
  </si>
  <si>
    <t>Исламов Фарит Рашитович</t>
  </si>
  <si>
    <t>Электрогазосварщик шестого  разряда</t>
  </si>
  <si>
    <t>islamov.farrid@yandex.ru</t>
  </si>
  <si>
    <t>+7 (917) 912-61-86</t>
  </si>
  <si>
    <t>Канакотина Екатерина Сергеевна</t>
  </si>
  <si>
    <t>kes.keravt@gmail.com</t>
  </si>
  <si>
    <t>+7 (927) 424-33-74</t>
  </si>
  <si>
    <t>Кандаков Александр Олегович</t>
  </si>
  <si>
    <t>+7(927)248-26-88</t>
  </si>
  <si>
    <t>sasha_kandakov93@mail.ru</t>
  </si>
  <si>
    <t>Караваев Антон Александрович</t>
  </si>
  <si>
    <t>kaa.keravt@gmail.com</t>
  </si>
  <si>
    <t>+7 (950) 311-82-14</t>
  </si>
  <si>
    <t>Кареев Сергей Александрович</t>
  </si>
  <si>
    <t>KSA.keravt@gmail.com</t>
  </si>
  <si>
    <t>+7 (960) 062-13-85</t>
  </si>
  <si>
    <t>Руководитель направления сервисного обслуживания АСУТП</t>
  </si>
  <si>
    <t>Касимов Рамиль Ильнурович</t>
  </si>
  <si>
    <t>KRI.keravt@gmail.com</t>
  </si>
  <si>
    <t>+7 (967) 460-18-90</t>
  </si>
  <si>
    <t>Инженер-программист первой категории</t>
  </si>
  <si>
    <t>Каюмова Эльвира Газизяновна</t>
  </si>
  <si>
    <t>+7 (987) 233-95-00</t>
  </si>
  <si>
    <t>В отпуске по уходу за ребенком</t>
  </si>
  <si>
    <t>elvirka203@mail.ru</t>
  </si>
  <si>
    <t>Коноплев Максим Александрович</t>
  </si>
  <si>
    <t>KMA.keravt@gmail.com</t>
  </si>
  <si>
    <t>+7 (965) 588-58-57</t>
  </si>
  <si>
    <t>+7 (937) 598-04-43</t>
  </si>
  <si>
    <t>Костромин Дмитрий Александрович</t>
  </si>
  <si>
    <t>Отдел ОТ и ТБ</t>
  </si>
  <si>
    <t>Султанова Раися Тагировна</t>
  </si>
  <si>
    <t>kostrominda92@gmail.com</t>
  </si>
  <si>
    <t>+7 (967) 460-22-22</t>
  </si>
  <si>
    <t xml:space="preserve">Специалист по охране труда </t>
  </si>
  <si>
    <t>kostrominda@keravt.net</t>
  </si>
  <si>
    <t>Котов Дмитрий Дмитриевич</t>
  </si>
  <si>
    <t>+7 (939) 375-41-55</t>
  </si>
  <si>
    <t>Электрослесарь по ремонту и обслуживанию автоматики и средств измерений электростанций пятого разряда</t>
  </si>
  <si>
    <t>inochkina.rita@mail.ru</t>
  </si>
  <si>
    <t>Кубиева Энже Саматовна</t>
  </si>
  <si>
    <t>+7 (958) 629-10-61</t>
  </si>
  <si>
    <t>enzhe.nasrtdinova@mail.ru</t>
  </si>
  <si>
    <t>Куксенков Сергей Андреевич</t>
  </si>
  <si>
    <t>Уч. монтажа КИПиА и АСУТП (Ел)</t>
  </si>
  <si>
    <t>+7 (919) 634-78-65</t>
  </si>
  <si>
    <t>Мастер</t>
  </si>
  <si>
    <t>В учебном оплачиваемом отпуске</t>
  </si>
  <si>
    <t>bekalvin@gmail.com</t>
  </si>
  <si>
    <t>Кунафин Рим Асхатович</t>
  </si>
  <si>
    <t>(85558) 3-41-82</t>
  </si>
  <si>
    <t>г. Заинск</t>
  </si>
  <si>
    <t>Электрослесарь по ремонту и обслуживанию автоматики и средств измерений электростанций шестого разряда</t>
  </si>
  <si>
    <t>В отпуске без сохранения зарплаты</t>
  </si>
  <si>
    <t>kunafin60kunafin606060@mail.ru</t>
  </si>
  <si>
    <t>Куницына Наталья Евгеньевна</t>
  </si>
  <si>
    <t>KNE.keravt@gmail.com</t>
  </si>
  <si>
    <t>+7 (967) 460-18-58</t>
  </si>
  <si>
    <t>Финансовый руководитель проектов</t>
  </si>
  <si>
    <t>Куприн Николай Викторович</t>
  </si>
  <si>
    <t>+7(986)920 58 75</t>
  </si>
  <si>
    <t>nikolya.kuprin@list.ru</t>
  </si>
  <si>
    <t>Кутыркин Андрей Александрович</t>
  </si>
  <si>
    <t>+7 (987) 075-22-91</t>
  </si>
  <si>
    <t>Электрогазосварщик пятого разряда</t>
  </si>
  <si>
    <t>andreiKutirkin96@gmail.com</t>
  </si>
  <si>
    <t>Латыпов Тимур Александрович</t>
  </si>
  <si>
    <t>LTA.keravt@gmail.com</t>
  </si>
  <si>
    <t>+7 (967) 460-21-89</t>
  </si>
  <si>
    <t>Липатова Арина Дмитриевна</t>
  </si>
  <si>
    <t>LAD.keravt@gmail.com</t>
  </si>
  <si>
    <t>+7 (999) 169-61-54</t>
  </si>
  <si>
    <t>Инженер-проектировщик второй категории</t>
  </si>
  <si>
    <t>Мазитов Булат Фависович</t>
  </si>
  <si>
    <t>MBF.keravt@gmail.com</t>
  </si>
  <si>
    <t>+7(902)711-09-92</t>
  </si>
  <si>
    <t>Инженер-проектировщик третьей  категории</t>
  </si>
  <si>
    <t>mbf.keravt@gmail.com</t>
  </si>
  <si>
    <t>Макаров Валерий Павлович</t>
  </si>
  <si>
    <t>+7 (965) 600-02-50</t>
  </si>
  <si>
    <t>valera_makarov_5656@mail.ru</t>
  </si>
  <si>
    <t>+7 (987) 403-47-49</t>
  </si>
  <si>
    <t>Макаров Виктор Павлович</t>
  </si>
  <si>
    <t>+7 (987) 291-20-35</t>
  </si>
  <si>
    <t>viktor.makarov.5959@mail.ru</t>
  </si>
  <si>
    <t>Макаров Павел Валерьевич</t>
  </si>
  <si>
    <t>+7(987)418-88-48</t>
  </si>
  <si>
    <t>Pavel.Makarov_87_Makarov_87@mail.ru</t>
  </si>
  <si>
    <t>Техник по наладке и испытаниям</t>
  </si>
  <si>
    <t>Макашов Рафаэль Исламович</t>
  </si>
  <si>
    <t>+7 (965) 599-89-14</t>
  </si>
  <si>
    <t>rafael220878@mail.ru</t>
  </si>
  <si>
    <t>+7 (917) 237-45-29</t>
  </si>
  <si>
    <t>Макин Николай Александрович</t>
  </si>
  <si>
    <t>MakinNA.keravt@gmail.com</t>
  </si>
  <si>
    <t>+7 (927) 036-72-80</t>
  </si>
  <si>
    <t>Главный инженер проекта</t>
  </si>
  <si>
    <t>1nipi@mail.ru</t>
  </si>
  <si>
    <t>Манахов Андрей Васильевич</t>
  </si>
  <si>
    <t>mav.keravt@gmail.com</t>
  </si>
  <si>
    <t>+7 (967) 460-14-45</t>
  </si>
  <si>
    <t>Манин Евгений Владимирович</t>
  </si>
  <si>
    <t>mev.keravt@gmail.com</t>
  </si>
  <si>
    <t>+7(906)110-54-51</t>
  </si>
  <si>
    <t>Главный конструктор</t>
  </si>
  <si>
    <t>Маслова Оксана Александровна</t>
  </si>
  <si>
    <t>moa.keravt@gmail.com</t>
  </si>
  <si>
    <t>+7 (950)315-05-79</t>
  </si>
  <si>
    <t>Заместитель главного инженера</t>
  </si>
  <si>
    <t xml:space="preserve">Медянникова Кристина Валериевна </t>
  </si>
  <si>
    <t>Договорной отдел</t>
  </si>
  <si>
    <t>Харисова Екатерина Юрьевна</t>
  </si>
  <si>
    <t>ikv@keravt.net</t>
  </si>
  <si>
    <t>Специалист по договорной работе</t>
  </si>
  <si>
    <t>+7 (904)673-79-36</t>
  </si>
  <si>
    <t>Михайленко Владимир Леонидович</t>
  </si>
  <si>
    <t>+7 (917) 246-10-76</t>
  </si>
  <si>
    <t>vladimermiholenko620762@mail.ru</t>
  </si>
  <si>
    <t>Мустафин Рафаэль Рашидович</t>
  </si>
  <si>
    <t>mrr.keravt@gmail.com</t>
  </si>
  <si>
    <t>+7(967) 441- 03- 69</t>
  </si>
  <si>
    <t>mustafin58@yandex.ru</t>
  </si>
  <si>
    <t>+7 (963) 101 -77 -58</t>
  </si>
  <si>
    <t>Насырзянов Наиль Ильдусович</t>
  </si>
  <si>
    <t>NNI.keravt@gmail.com</t>
  </si>
  <si>
    <t>+7 (960) 062-12-30</t>
  </si>
  <si>
    <t>Начальник отдела закупок и материально-технического обеспечения</t>
  </si>
  <si>
    <t>Нестеренко Светлана Петровна</t>
  </si>
  <si>
    <t>Отдел ДО</t>
  </si>
  <si>
    <t>msp.keravt@gmail.com</t>
  </si>
  <si>
    <t>+7 (965) 611-14-67</t>
  </si>
  <si>
    <t>Начальник отдела документационного обеспечения</t>
  </si>
  <si>
    <t>Нигомедзянов Виктор Ринатович</t>
  </si>
  <si>
    <t>NVR.keravt@gmail.com</t>
  </si>
  <si>
    <t>+7 (967) 460-14-38</t>
  </si>
  <si>
    <t>Новиков Владимир Викторович</t>
  </si>
  <si>
    <t>nvv@keravt.net</t>
  </si>
  <si>
    <t>+7 (965) 599-84-69</t>
  </si>
  <si>
    <t>Старший мастер</t>
  </si>
  <si>
    <t>novikovvv65@mail.ru</t>
  </si>
  <si>
    <t>+7 (917) 937-84-71</t>
  </si>
  <si>
    <t>Охотин Дмитрий Юрьевич</t>
  </si>
  <si>
    <t>ody.keravt@gmail.com</t>
  </si>
  <si>
    <t>+7 (967) 460-18-97</t>
  </si>
  <si>
    <t>Заместитель начальника службы диагностики и технического контроля</t>
  </si>
  <si>
    <t>ohotindy@gmail.com</t>
  </si>
  <si>
    <t>Плаксин Андрей Валерьевич</t>
  </si>
  <si>
    <t>PAV.keravt@gmail.com</t>
  </si>
  <si>
    <t>+7 (960) 062-12-38</t>
  </si>
  <si>
    <t>pva.keravt@gmail.com</t>
  </si>
  <si>
    <t>+7 (906) 333-11-18</t>
  </si>
  <si>
    <t>Главный бухгалтер</t>
  </si>
  <si>
    <t>pva@keravt.net</t>
  </si>
  <si>
    <t>Приндин Ярослав Остапович</t>
  </si>
  <si>
    <t>+7 (965) 599-94-19</t>
  </si>
  <si>
    <t>prindin59@mail.ru</t>
  </si>
  <si>
    <t>+7 (960) 062-27-67</t>
  </si>
  <si>
    <t>Проскуряков Александр Николаевич</t>
  </si>
  <si>
    <t>PAN.keravt@gmail.com</t>
  </si>
  <si>
    <t>+7 (967) 460-14-51</t>
  </si>
  <si>
    <t>Разживин Сергей Александрович</t>
  </si>
  <si>
    <t>RSA.keravt@gmail.com</t>
  </si>
  <si>
    <t>+7 (967) 460-21-53</t>
  </si>
  <si>
    <t>+7 (960) 069-99-88</t>
  </si>
  <si>
    <t>Рамазанова Алина Валерьевна</t>
  </si>
  <si>
    <t>rav.keravt@gmail.com</t>
  </si>
  <si>
    <t>+7 (960) 062-28-49</t>
  </si>
  <si>
    <t>Инженер по технико-коммерческой работе</t>
  </si>
  <si>
    <t>Рахимов Рамиль Альбертович</t>
  </si>
  <si>
    <t>rra.keravt@gmail.com</t>
  </si>
  <si>
    <t>+7(965) 593-82-15</t>
  </si>
  <si>
    <t>В ежегодном отпуске</t>
  </si>
  <si>
    <t xml:space="preserve"> +7 (937) 290- 59- 77</t>
  </si>
  <si>
    <t>Ротач Рита Рустемовна</t>
  </si>
  <si>
    <t>RRR.keravt@gmail.com</t>
  </si>
  <si>
    <t>+7 (905) 021-54-83</t>
  </si>
  <si>
    <t>Инженер по технико-коммерческой работе первой категории</t>
  </si>
  <si>
    <t>Рушинцев Сергей Александрович</t>
  </si>
  <si>
    <t>+7 (965) 599-95-46</t>
  </si>
  <si>
    <t>sergei.rushintsev@yandex.ru</t>
  </si>
  <si>
    <t>Сабиров Айнур Маратович</t>
  </si>
  <si>
    <t>sam.keravt@gmail.com</t>
  </si>
  <si>
    <t>+7 (960) 062-12-42</t>
  </si>
  <si>
    <t>Генеральный директор</t>
  </si>
  <si>
    <t>Сатаров Никита Игоревич</t>
  </si>
  <si>
    <t>sni.keravt@gmail.com</t>
  </si>
  <si>
    <t>+7 (904) 661-37-75</t>
  </si>
  <si>
    <t>satarov.nikita.igorevich@gmail.com</t>
  </si>
  <si>
    <t>Сергеев Андрей Николаевич</t>
  </si>
  <si>
    <t>SergeevAN.keravt@gmail.com</t>
  </si>
  <si>
    <t>+7 (967) 460-14-40</t>
  </si>
  <si>
    <t>Заместитель генерального директора по строительству</t>
  </si>
  <si>
    <t>sin.keravt@gmail.com</t>
  </si>
  <si>
    <t>+7 (906) 333-88-66</t>
  </si>
  <si>
    <t>Финансовый директор</t>
  </si>
  <si>
    <t>sin@keravt.net</t>
  </si>
  <si>
    <t>+7 (8552) 91-77-11</t>
  </si>
  <si>
    <t>Сидоренко Сергей Николаевич</t>
  </si>
  <si>
    <t>ssn.keravt@gmail.com</t>
  </si>
  <si>
    <t>+7(937)576-27-75</t>
  </si>
  <si>
    <t>ser-si@mail.ru</t>
  </si>
  <si>
    <t>Сизинцев Александр Сергеевич</t>
  </si>
  <si>
    <t>sas.keravt@gmail.com</t>
  </si>
  <si>
    <t>+7 (967) 460-18-60</t>
  </si>
  <si>
    <t>Силачев Александр Алексеевич</t>
  </si>
  <si>
    <t>SAA.keravt@gmail.com</t>
  </si>
  <si>
    <t>+7 (960) 062-14-95</t>
  </si>
  <si>
    <t>Синькова Тамара Юрьевна</t>
  </si>
  <si>
    <t>STY.keravt@gmail.com</t>
  </si>
  <si>
    <t>+7 (960) 082-63-48</t>
  </si>
  <si>
    <t>Кладовщик</t>
  </si>
  <si>
    <t>+7 (967) 460-18-76</t>
  </si>
  <si>
    <t>Слободянюк Иван Валерьевич</t>
  </si>
  <si>
    <t>siv.keravt@gmail.com</t>
  </si>
  <si>
    <t>+7 (967) 460-17-93</t>
  </si>
  <si>
    <t>Сулейманов Алмаз Айратович</t>
  </si>
  <si>
    <t>suleimanov.aat@gmail.com</t>
  </si>
  <si>
    <t>+7 (929) 722-01-77</t>
  </si>
  <si>
    <t>srt.keravt@gmail.com</t>
  </si>
  <si>
    <t>+7 (965) 588-53-04</t>
  </si>
  <si>
    <t>Начальник отдела охраны труда и техники безопасности</t>
  </si>
  <si>
    <t>srt@keravt.net</t>
  </si>
  <si>
    <t>+7 (927) 450-06-40</t>
  </si>
  <si>
    <t>Трефилов Андрей Анатолиевич</t>
  </si>
  <si>
    <t>taa.keravt@gmail.com</t>
  </si>
  <si>
    <t>+7 (967) 460-14-50</t>
  </si>
  <si>
    <t>Улитин Никита Николаевич</t>
  </si>
  <si>
    <t>unn.keravt@gmail.com</t>
  </si>
  <si>
    <t>+7(919) 645-17-94</t>
  </si>
  <si>
    <t>nikita.r94@mail.ru</t>
  </si>
  <si>
    <t>Файрушин Рустем Разифович</t>
  </si>
  <si>
    <t>frr@keravt.net</t>
  </si>
  <si>
    <t>Начальник электротехнической лаборатории</t>
  </si>
  <si>
    <t>fayrushin1978@mail.ru</t>
  </si>
  <si>
    <t>+7(917)923-75-27</t>
  </si>
  <si>
    <t>Файрушина Ольга Анатольевна</t>
  </si>
  <si>
    <t>foa.keravt@gmail.com</t>
  </si>
  <si>
    <t>+7 (960) 062-02-31</t>
  </si>
  <si>
    <t>foa@keravt.net</t>
  </si>
  <si>
    <t>+7 (8552) 31-44-55</t>
  </si>
  <si>
    <t>Фарахов Ильдус Ягфарович</t>
  </si>
  <si>
    <t>FIY.keravt@gmail.com</t>
  </si>
  <si>
    <t>+7 (967) 460-18-61</t>
  </si>
  <si>
    <t>+7 (962) 575-85-00</t>
  </si>
  <si>
    <t>Фатхуллина Олеся Раисовна</t>
  </si>
  <si>
    <t>for.keravt@gmail.com</t>
  </si>
  <si>
    <t>+7 (960) 082-36-43</t>
  </si>
  <si>
    <t>Ведущий инженер по проектно-сметной работе</t>
  </si>
  <si>
    <t>les-47@mail.ru</t>
  </si>
  <si>
    <t>Фатыхов Руслан Вагизович</t>
  </si>
  <si>
    <t>+7 (952) 043-62-85</t>
  </si>
  <si>
    <t>ruslanfatyhov.31@gmail.com</t>
  </si>
  <si>
    <t>Хакимова Роза Мостакимовна</t>
  </si>
  <si>
    <t>roza.khakimova.1964@mail.ru</t>
  </si>
  <si>
    <t>+7 (917) 925-35-82</t>
  </si>
  <si>
    <t>HEY.keravt@gmail.com</t>
  </si>
  <si>
    <t>+7 (960) 062-22-63</t>
  </si>
  <si>
    <t>Начальник договорного отдела</t>
  </si>
  <si>
    <t>hey.keravt@gmail.com</t>
  </si>
  <si>
    <t>+7 (8552) 91-66-22</t>
  </si>
  <si>
    <t>Хасанов Ильдар Абдулхатипович</t>
  </si>
  <si>
    <t>+7(950) 948-83-82</t>
  </si>
  <si>
    <t>Электромонтажник по распределительным устройствам и вторичным цепям пятого разряда</t>
  </si>
  <si>
    <t>ildar.xas.1967@yandex.ru</t>
  </si>
  <si>
    <t>Хусаинов Азат Ильшатович</t>
  </si>
  <si>
    <t>+7 (987) 275-07-25</t>
  </si>
  <si>
    <t>azat.khusainov1995@gmail.com</t>
  </si>
  <si>
    <t>Шаврин Евгений Михайлович</t>
  </si>
  <si>
    <t>Электрослесарь по ремонту и обслуживанию автоматики и средств измерений электростанций третьего разряда</t>
  </si>
  <si>
    <t>evgeniishavrin@icloud.com</t>
  </si>
  <si>
    <t>+7(919) 702-34-59</t>
  </si>
  <si>
    <t>Шайхутдинов Фердинанд Фирдаусович</t>
  </si>
  <si>
    <t>+7 (906) 110-16-35</t>
  </si>
  <si>
    <t>ferdik@yandex.ru</t>
  </si>
  <si>
    <t>+7 (917) 292-96-41</t>
  </si>
  <si>
    <t>Шапкина Наталья Николаевна</t>
  </si>
  <si>
    <t>snn.keravt@gmail.com</t>
  </si>
  <si>
    <t>+7 (960) 061-96-83</t>
  </si>
  <si>
    <t>Специалист по кадрам</t>
  </si>
  <si>
    <t>Шарипов Ленар Альбертович</t>
  </si>
  <si>
    <t>sla.keravt@gmail.com</t>
  </si>
  <si>
    <t>+7 (910)561-35-21</t>
  </si>
  <si>
    <t>sharipov.lenar@mail.ru</t>
  </si>
  <si>
    <t>Шафиков Айдар Фаритович</t>
  </si>
  <si>
    <t>saf.keravt@gmail.com</t>
  </si>
  <si>
    <t>+7 (953) 402-13-86</t>
  </si>
  <si>
    <t>shafik2ay@gmail.com</t>
  </si>
  <si>
    <t>Эмирусайинов Руслан Бекирович</t>
  </si>
  <si>
    <t>erb.keravt@gmail.com</t>
  </si>
  <si>
    <t>+7 (960) 062-15-73</t>
  </si>
  <si>
    <t>Абдуллин Рафаэль Равилевич</t>
  </si>
  <si>
    <t>arr.keravt@gmail.com</t>
  </si>
  <si>
    <t>+7(906) 328-76-12</t>
  </si>
  <si>
    <t>ООО "УЭС-Автоматика"</t>
  </si>
  <si>
    <t>Андреев Владимир Николаевич</t>
  </si>
  <si>
    <t>+7(960) 612-88-35</t>
  </si>
  <si>
    <t>г. Новомосковск</t>
  </si>
  <si>
    <t>Электромонтер по ремонту и обслуживанию электрооборудования пятого разряда</t>
  </si>
  <si>
    <t>AndreevVN1970@yandex.ru</t>
  </si>
  <si>
    <t>Андреев Юрий Анатольевич</t>
  </si>
  <si>
    <t xml:space="preserve">aya.keravt@gmail.com  </t>
  </si>
  <si>
    <t>sm200562@mail.ru</t>
  </si>
  <si>
    <t>+7 (917) 399-66-42</t>
  </si>
  <si>
    <t>Аухадиев Рустам Борисович</t>
  </si>
  <si>
    <t>arb.keravt@gmail.com</t>
  </si>
  <si>
    <t>+7(953) 498-33-07</t>
  </si>
  <si>
    <t>Инженер по технико-коммерческой работе второй категории</t>
  </si>
  <si>
    <t>Безрукавый Антон Олегович (осн.)</t>
  </si>
  <si>
    <t>bao.keravt@gmail.com</t>
  </si>
  <si>
    <t>+7( 953) 806-70-36</t>
  </si>
  <si>
    <t>axtox111@yandex.ru</t>
  </si>
  <si>
    <t>Богачев Юрий Васильевич</t>
  </si>
  <si>
    <t>+7(964) 117-89-39</t>
  </si>
  <si>
    <t>Электромонтажник</t>
  </si>
  <si>
    <t>boghachiov1986@mail.ru</t>
  </si>
  <si>
    <t>Власов Василий Александрович</t>
  </si>
  <si>
    <t>+7(914) 898-65-65</t>
  </si>
  <si>
    <t>27121974vlasov@mail.ru</t>
  </si>
  <si>
    <t>Воробьев Владимир Сергеевич</t>
  </si>
  <si>
    <t>+7 (950) 111-31-81</t>
  </si>
  <si>
    <t>Электросварщик ручной сварки четвертого разряда</t>
  </si>
  <si>
    <t>vorobei-vova89@mail.ru</t>
  </si>
  <si>
    <t>Габдрахманов Рустам Мисбахович</t>
  </si>
  <si>
    <t>GRM.keravt@gmail.com</t>
  </si>
  <si>
    <t>+7(950)327-50-73</t>
  </si>
  <si>
    <t>Габдрахманова Ания Разиновна</t>
  </si>
  <si>
    <t>GAR.keravt@gmail.com</t>
  </si>
  <si>
    <t>+7 (950) 327-95-83</t>
  </si>
  <si>
    <t>Говорухин Александр Сергеевич</t>
  </si>
  <si>
    <t>+7(905)186-58-21</t>
  </si>
  <si>
    <t>Электромонтажник третьего разряда</t>
  </si>
  <si>
    <t>sagasany@yandex.ru</t>
  </si>
  <si>
    <t>Григорьев Евгений Александрович</t>
  </si>
  <si>
    <t>+7 (920) 748-63-59</t>
  </si>
  <si>
    <t>EVGGrigoreb@gmail.com</t>
  </si>
  <si>
    <t>Гуляев Сергей Алексеевич</t>
  </si>
  <si>
    <t>gsa.keravt@gmail.com</t>
  </si>
  <si>
    <t>+7 (960) 062-15-79</t>
  </si>
  <si>
    <t>Епишин Алексей Александрович</t>
  </si>
  <si>
    <t>+7 (950) 909-51-11</t>
  </si>
  <si>
    <t>aleksei.seeqerd@yandex.ru</t>
  </si>
  <si>
    <t>Зарипов Рушан Расулевич (осн.)</t>
  </si>
  <si>
    <t>Yurneroru@gmail.com</t>
  </si>
  <si>
    <t>+7 (987)221-11-87</t>
  </si>
  <si>
    <t>Инженер по наладке и испытаниям второй категории</t>
  </si>
  <si>
    <t>Ключников Станислав Владимирович</t>
  </si>
  <si>
    <t>+7(980) 014-94-78</t>
  </si>
  <si>
    <t>Электромонтажник - наладчик пятого разряда</t>
  </si>
  <si>
    <t>klucnikovstanislav87@gmail.com</t>
  </si>
  <si>
    <t>Копылов Иван Анатольевич</t>
  </si>
  <si>
    <t>+7(983) 448-02-21</t>
  </si>
  <si>
    <t>vanechka.kopylov.94@bk.ru</t>
  </si>
  <si>
    <t>Корнеев Сергей Аркадьевич</t>
  </si>
  <si>
    <t>Электромонтажник - наладчик четвертого разряда</t>
  </si>
  <si>
    <t>cerega.korneev@yandex.ru</t>
  </si>
  <si>
    <t>Кулаков Денис Анатольевич</t>
  </si>
  <si>
    <t>kda.keravt@gmail.com</t>
  </si>
  <si>
    <t>+7 (960) 061-98-73</t>
  </si>
  <si>
    <t xml:space="preserve">Заместитель генерального директора по проектированию </t>
  </si>
  <si>
    <t>Литвинов Александр Юрьевич</t>
  </si>
  <si>
    <t>lit.71jolt@gmail.com</t>
  </si>
  <si>
    <t>Макаров Алексей Васильевич</t>
  </si>
  <si>
    <t>makarovav.keravt@gmail.com</t>
  </si>
  <si>
    <t>makarov.proma@yandex.ru</t>
  </si>
  <si>
    <t>+7 (937) 619-67-50</t>
  </si>
  <si>
    <t>Мужеков Ирек Рассихович</t>
  </si>
  <si>
    <t>mir.keravt@gmail.com</t>
  </si>
  <si>
    <t>+7(963)120-54-37</t>
  </si>
  <si>
    <t>Техник-программист второй категории</t>
  </si>
  <si>
    <t>Пахомов Роман Владиславович</t>
  </si>
  <si>
    <t>+7(960) 608-40-42</t>
  </si>
  <si>
    <t>pakhomov.romka@yandex.ru</t>
  </si>
  <si>
    <t>Платонов Денис Андреевич</t>
  </si>
  <si>
    <t>pda.keravt@gmail.com</t>
  </si>
  <si>
    <t>Ученик инженера-проектировщика</t>
  </si>
  <si>
    <t>+7(919)622-54-60</t>
  </si>
  <si>
    <t>Пронин Сергей Николаевич</t>
  </si>
  <si>
    <t>+7(903) 421-82-74</t>
  </si>
  <si>
    <t>Электромонтер по ремонту и обслуживанию электрооборудования четвертого разряда</t>
  </si>
  <si>
    <t>Serezha.PN2011@yandex.ru</t>
  </si>
  <si>
    <t>Раянова Лилиана Рафисовна</t>
  </si>
  <si>
    <t xml:space="preserve"> rlr.keravt@gmail.com</t>
  </si>
  <si>
    <t>+7 (986) 704-31-32</t>
  </si>
  <si>
    <t>Рыскаль Владимир Андреевич</t>
  </si>
  <si>
    <t>ЭТД</t>
  </si>
  <si>
    <t>+7 (960) 061-98-57</t>
  </si>
  <si>
    <t>Заместитель технического директора</t>
  </si>
  <si>
    <t>rva.keravt@gmail.com</t>
  </si>
  <si>
    <t>Садыков Ильшат Рушанович</t>
  </si>
  <si>
    <t>sir.keravt@gmail.com</t>
  </si>
  <si>
    <t>+7 (960) 062-19-80</t>
  </si>
  <si>
    <t>Самохвалов Андрей Викторович</t>
  </si>
  <si>
    <t>samav.keravt@gmail.com</t>
  </si>
  <si>
    <t>+7 (927) 244-99-94</t>
  </si>
  <si>
    <t>Семенов Денис Александрович</t>
  </si>
  <si>
    <t>SDA.keravt@gmail.com</t>
  </si>
  <si>
    <t>+7 (960) 062-16-84</t>
  </si>
  <si>
    <t>Семиженко Александр Васильевич</t>
  </si>
  <si>
    <t>SAV.keravt@gmail.com</t>
  </si>
  <si>
    <t>+7 (960) 061-95-16</t>
  </si>
  <si>
    <t>Стихарев Виктор Викторович</t>
  </si>
  <si>
    <t>barin787@rambler.ru</t>
  </si>
  <si>
    <t>Турпак Александр Михайлович</t>
  </si>
  <si>
    <t>turpak.keravt@gmail.com</t>
  </si>
  <si>
    <t>+7(922)330-26-23</t>
  </si>
  <si>
    <t>turpakam@yandex.ru</t>
  </si>
  <si>
    <t>Унгурян Руслан Викторович</t>
  </si>
  <si>
    <t>urv.keravt@gmail.com</t>
  </si>
  <si>
    <t>+7 (967) 460-14-32</t>
  </si>
  <si>
    <t>rusangelvsr@gmail.com</t>
  </si>
  <si>
    <t>Флегонтов Дмитрий Олегович</t>
  </si>
  <si>
    <t>fdo.keravt@gmail.com</t>
  </si>
  <si>
    <t>+7(987)267-44-17</t>
  </si>
  <si>
    <t>Фомин Евгений Дмитриевич</t>
  </si>
  <si>
    <t>+7 (980) 562-13-93</t>
  </si>
  <si>
    <t>evgen1980proton@gmail.com</t>
  </si>
  <si>
    <t>Фролов Сергей Александрович</t>
  </si>
  <si>
    <t>FSA.keravt@gmail.com</t>
  </si>
  <si>
    <t>+7 (960) 061-99-86</t>
  </si>
  <si>
    <t>Главный инженер</t>
  </si>
  <si>
    <t>+7 (8552) 91-44-11</t>
  </si>
  <si>
    <t>Хабибуллин Булат Ринатович</t>
  </si>
  <si>
    <t>kbr.keravt@gmail.com</t>
  </si>
  <si>
    <t>+7 (987) 423-47-35</t>
  </si>
  <si>
    <t>Хомин Вячеслав Петрович</t>
  </si>
  <si>
    <t>HVP.keravt@gmail.com</t>
  </si>
  <si>
    <t>+7 (960) 062-15-77</t>
  </si>
  <si>
    <t>Технический директор</t>
  </si>
  <si>
    <t>Чудасов Илья Васильевич</t>
  </si>
  <si>
    <t>civ.keravt@gmail.com</t>
  </si>
  <si>
    <t>+7 (953)405-37-99</t>
  </si>
  <si>
    <t>CIV@uesavt.ru</t>
  </si>
  <si>
    <t>Якищенко Алексей Владимирович</t>
  </si>
  <si>
    <t>yav.keravt@gmail.com</t>
  </si>
  <si>
    <t>+7 (967) 460-17-15</t>
  </si>
  <si>
    <t>Воронов Анатолий Николаевич (осн.)</t>
  </si>
  <si>
    <t>van.keravt@gmail.com</t>
  </si>
  <si>
    <t>+7 (960) 062-14-04</t>
  </si>
  <si>
    <t>ООО "Карно-Энерго"</t>
  </si>
  <si>
    <t>Миронов Александр Александрович</t>
  </si>
  <si>
    <t>maa.keravt@gmail.com</t>
  </si>
  <si>
    <t>+7 (960) 062-32-14</t>
  </si>
  <si>
    <t>Пилецкий Дмитрий Евгеньевич</t>
  </si>
  <si>
    <t>pde.keravt@gmail.com</t>
  </si>
  <si>
    <t>+7 (965) 619-22-22</t>
  </si>
  <si>
    <t>piletskyde@gmail.com</t>
  </si>
  <si>
    <t>Шугаева Марина Евгеньевна</t>
  </si>
  <si>
    <t>SME.keravt@gmail.com</t>
  </si>
  <si>
    <t>+7 (906) 333-21-11</t>
  </si>
  <si>
    <t>sme@keravt.net</t>
  </si>
  <si>
    <t>+7 (8552) 91-33-11</t>
  </si>
  <si>
    <t>Хибатуллин Алмаз Нурмухаметович</t>
  </si>
  <si>
    <t>Исаева О.А.</t>
  </si>
  <si>
    <t>almazkhibatullin@gmail.com</t>
  </si>
  <si>
    <t>+7 965 622-99-10</t>
  </si>
  <si>
    <t>ООО "Айвис"</t>
  </si>
  <si>
    <t>Главный специалист по защите информации</t>
  </si>
  <si>
    <t>dyx.90@mail.ru</t>
  </si>
  <si>
    <t>Корсаков Сергей Евгеньевич</t>
  </si>
  <si>
    <t>Сабиров А.М.</t>
  </si>
  <si>
    <t>KSE.keravt@gmail.com</t>
  </si>
  <si>
    <t>+7 967 460-14-33</t>
  </si>
  <si>
    <t>Мыкало Светлана Алексеевна</t>
  </si>
  <si>
    <t>Галкин В.А.</t>
  </si>
  <si>
    <t>MykaloSA.keravt@gmail.com</t>
  </si>
  <si>
    <t>+7 960 062-11-41</t>
  </si>
  <si>
    <t>Заместитель генерального директора</t>
  </si>
  <si>
    <t>Зарянов Валерий Геннадьевич</t>
  </si>
  <si>
    <t>ZVG.keravt@gmail.com</t>
  </si>
  <si>
    <t>+7 967 460-14-39</t>
  </si>
  <si>
    <t>Начальник отдела программного обеспечения</t>
  </si>
  <si>
    <t>Филиппов Алексей Владимирович</t>
  </si>
  <si>
    <t>Пилецкий Д.Е.</t>
  </si>
  <si>
    <t>fav.keravt@gmail.com</t>
  </si>
  <si>
    <t>+7 951 894-60-93</t>
  </si>
  <si>
    <t>Специалист по информационным технологиям</t>
  </si>
  <si>
    <t>kalmah11@mail.ru</t>
  </si>
  <si>
    <t>Кияметдинов Ильмир Харисович</t>
  </si>
  <si>
    <t>Программист</t>
  </si>
  <si>
    <t>Унгурян Р.В.</t>
  </si>
  <si>
    <t>kih.keravt@gmail.com</t>
  </si>
  <si>
    <t>+7 960 045-96-10</t>
  </si>
  <si>
    <t>ilmir2007@inbox.ru</t>
  </si>
  <si>
    <t>Погодин Дмитрий Дмитриевич</t>
  </si>
  <si>
    <t>pogodindd@gmail.com</t>
  </si>
  <si>
    <t>+7 960 062-13-90</t>
  </si>
  <si>
    <t>Руководитель службы метрологического обеспечения</t>
  </si>
  <si>
    <t>Саркисян Вадим Сергеевич</t>
  </si>
  <si>
    <t>Саркисян В.С.</t>
  </si>
  <si>
    <t>svs.keravt@gmail.com</t>
  </si>
  <si>
    <t>+7 960 062-22-04</t>
  </si>
  <si>
    <t>Функ Александр Иванович</t>
  </si>
  <si>
    <t>Сотрудники РК</t>
  </si>
  <si>
    <t>fai.keravt@gmail.com</t>
  </si>
  <si>
    <t>+7 701 213-39-10</t>
  </si>
  <si>
    <t>г. Караганда</t>
  </si>
  <si>
    <t>Инженер АСУТП</t>
  </si>
  <si>
    <t>funk-93@mail.ru</t>
  </si>
  <si>
    <t>Сумин Евгений Владимирович</t>
  </si>
  <si>
    <t>SuminEV.keravt@gmail.com</t>
  </si>
  <si>
    <t>+7 707 607-58-68</t>
  </si>
  <si>
    <t>г. Павлодар</t>
  </si>
  <si>
    <t>Prizrak_angel@mail.ru</t>
  </si>
  <si>
    <t>Аркаев Александр Сергеевич</t>
  </si>
  <si>
    <t>aas.keravt@gmail.com</t>
  </si>
  <si>
    <t>+7 705 670-35-40</t>
  </si>
  <si>
    <t>arksan.work@ya.ru</t>
  </si>
  <si>
    <t>Жеребцов Антон Александрович</t>
  </si>
  <si>
    <t>Жеребцов А.А.</t>
  </si>
  <si>
    <t>ZherebtsovAA.keravt@gmail.com</t>
  </si>
  <si>
    <t>+7 777 461-19-85</t>
  </si>
  <si>
    <t>antalger@mail.ru</t>
  </si>
  <si>
    <t>Зубрия Владимир Анатольевич</t>
  </si>
  <si>
    <t>+7 (919) 634-56-04</t>
  </si>
  <si>
    <t>zubriava@yandex.ru</t>
  </si>
  <si>
    <t>Список</t>
  </si>
  <si>
    <t>Генерация файлов
 отчетов</t>
  </si>
  <si>
    <t>Status create</t>
  </si>
  <si>
    <t>Сокращенное имя</t>
  </si>
  <si>
    <t>Участие в расчете коэф-та сложности бесполезная штука но нужна</t>
  </si>
  <si>
    <t>URL папки отдела</t>
  </si>
  <si>
    <t>URL rкниги отдела</t>
  </si>
  <si>
    <t>Создавать для этой службы табель?</t>
  </si>
  <si>
    <t>1fDwv_PDcKMkkQiu2YSrKu1rhuAmZOREY</t>
  </si>
  <si>
    <t>1NPV4vMc3xDjFtXACkapoGWqiBjhDXEct82fG-Dv6I2w</t>
  </si>
  <si>
    <t>19tbOUcAMw5F5A8QS9zOB9dWKXLMysBsp</t>
  </si>
  <si>
    <t>16qlpxW9mDsG0YUvMOBNlwHyhMsDRVpgOo1JxYN7DzPA</t>
  </si>
  <si>
    <t>1awxmEfkXK5UrHrIC0wLF4LzAVfPhZy_L</t>
  </si>
  <si>
    <t>1zj7IvdFuBzUioCBOqrjplfoUYJvJ3AO4neXte9I1MiI</t>
  </si>
  <si>
    <t>1Y7RjlxP8qE74l4mnuO8arN3_0vGXuLcy</t>
  </si>
  <si>
    <t>1S66RD_mjFyWUMjwL8G4cjwKQQCJYG8EXheQblGhmL0c</t>
  </si>
  <si>
    <t>1nSyMuQ_xSRtCwiZ9_o95FCKTB8MeA4WG</t>
  </si>
  <si>
    <t>1z9jMqVzajRHj2rVuvOZHd5-9-IYRsNHgESil0kI-oKU</t>
  </si>
  <si>
    <t>14BCGkDMMbXGpF28Hg5wtQSge9CFHzskr</t>
  </si>
  <si>
    <t>1BA26_oJBh1709PURrvGmugP52Qc_Eo-cizHpNbpTcZw</t>
  </si>
  <si>
    <t>1VXCAo2hjyftpafQg2vqICQwmfM4LEQnL</t>
  </si>
  <si>
    <t>1NC52laa27RT1FV9X85ptvJQXDtpygoFgl_KZXYjXi44</t>
  </si>
  <si>
    <t>1LdcVo7at0VQVE40Y7eI54USH0kYKzWVs</t>
  </si>
  <si>
    <t>1kdFOZj2_NLske9sPP72olmLx-TxG4_X5NRZRQRWVj04</t>
  </si>
  <si>
    <t>1D0_Vzn1V_pjaTyvRIeC6IRZZD1r-pWJe</t>
  </si>
  <si>
    <t>1grjMbJiqfSQbQtFhjQz7810l4e-pD0UaVca0r0AczfE</t>
  </si>
  <si>
    <t>Служба СО АСУТП</t>
  </si>
  <si>
    <t>Отдел ИТ</t>
  </si>
  <si>
    <t>1XHxhlHUQXfwrhIzxymtW5IjaZazowAJq</t>
  </si>
  <si>
    <t>1XNuzT0hAckXmfwVqyl59NXpE3-D9222PY5gYw0k08oE</t>
  </si>
  <si>
    <t>1_vMhPy-jHqy4QMkFaYziDK9RNdf2zKTx</t>
  </si>
  <si>
    <t>1DjNyPjO7qr5CNVXBGXce9p-eBIGDZreLAFKLosdxdK0</t>
  </si>
  <si>
    <t>Main/NameBooks</t>
  </si>
  <si>
    <t>Main/BooksID</t>
  </si>
  <si>
    <t>Main/NameFolder</t>
  </si>
  <si>
    <t>Main/FolderID</t>
  </si>
  <si>
    <t>Main/Test</t>
  </si>
  <si>
    <t>Имя книги</t>
  </si>
  <si>
    <t>ID</t>
  </si>
  <si>
    <t>Имя папки</t>
  </si>
  <si>
    <t>Реестр проектов</t>
  </si>
  <si>
    <t>1QukVP206RlzrQVRFJjikyza1vxmDdWkzH4NOQmOjneA</t>
  </si>
  <si>
    <t>1L-M16EAoK1jWQnucnia-SZ8d2QhHdpIH</t>
  </si>
  <si>
    <t>1p7_jSKEaCgPYZHPTzQIH-ZXY20atv5WLMlUThCM-JqA</t>
  </si>
  <si>
    <t>КЭР-Автоматика</t>
  </si>
  <si>
    <t>1dAdiKlZVNqYWy3FHhzvYP9SH_-hCU0W-</t>
  </si>
  <si>
    <t>Управление Google User</t>
  </si>
  <si>
    <t>1Ts4iNHnLwzgfZeaeMmf9NpNOMqI_Fu6mM3mUcWC1NgI</t>
  </si>
  <si>
    <t>УЭС-Автоматика</t>
  </si>
  <si>
    <t>1d95cTToyL7z6WRaM2kT3rk-5ChSLzEcv</t>
  </si>
  <si>
    <t>Бойцова Г.Р. КЭР 2020</t>
  </si>
  <si>
    <t>1kZwAYpiEKLC1gE5I55tVH2v3OizmN2jl_SQt65JbnDk</t>
  </si>
  <si>
    <t>КАРНО-Энерго</t>
  </si>
  <si>
    <t>1TyVgaSFOUdfwwTd23roM3_lLBIzBKDuw</t>
  </si>
  <si>
    <t>Илалова М.Н. КЭР 2020</t>
  </si>
  <si>
    <t>1qr_PTPWUceV7BPTEcmrEA3vZhCrtaHHKuXe1aN9n7_g</t>
  </si>
  <si>
    <t>АЙВИС</t>
  </si>
  <si>
    <t>11Ijwurmc_bz7fIFhC93RkOZod4tssW9a</t>
  </si>
  <si>
    <t>Куницына Н.Е. КЭР 2020</t>
  </si>
  <si>
    <t>15LkKuIg1fXlljryJ2pxxY56SpjN1gLkc5kbktl3yi38</t>
  </si>
  <si>
    <t>Отчеты служб</t>
  </si>
  <si>
    <t>1MY4tOkLUM66h_DMzPSwzVtWRw5DJ3Our</t>
  </si>
  <si>
    <t>Мыкало С.А. КЭР 2020</t>
  </si>
  <si>
    <t>1vVM_MOILD2o_SmvW--BPSroxr18cwg-0VTMqETiYnls</t>
  </si>
  <si>
    <t>Контрагенты КЭР</t>
  </si>
  <si>
    <t>1bJ9OLL1AhnonQgJr6HE1Gum3LcHIb9EY</t>
  </si>
  <si>
    <t>Файрушина О.А. КЭР 2020</t>
  </si>
  <si>
    <t>1qZok7PmbeVGipO4uK4ImsvhavTf8q_ZMf10AIPgPMFw</t>
  </si>
  <si>
    <t>Табели</t>
  </si>
  <si>
    <t>1OMC8NWdH7oNSA2-JR7VZwPa8zmfgIDwD</t>
  </si>
  <si>
    <t>Карно-Энерго график отпусков 2020</t>
  </si>
  <si>
    <t>1R6mSCZ2NLawmTHP4EdvygE05kwSmmdSd-zXk9eiS4yY</t>
  </si>
  <si>
    <t>Контрагенты УЭС</t>
  </si>
  <si>
    <t>1ipu-SmzBny1ZjOheFymxcknpacGoVRH0</t>
  </si>
  <si>
    <t>КЭР-Автоматика график отпусков 2020</t>
  </si>
  <si>
    <t>1aA0P3hia_Pjc8BUSVe0F2nJuVYex80ORxERHB-zjjxg</t>
  </si>
  <si>
    <t>Контрагенты КАРНО</t>
  </si>
  <si>
    <t>1F6WjBejL1KaTl2lO-JtW9jEdDask70kY</t>
  </si>
  <si>
    <t>УЭС-Автоматика график отпусков 2020</t>
  </si>
  <si>
    <t>1lJOXpqkQGshPzGb5hjnbaOgMDEARNMCB9LNkxvktqE8</t>
  </si>
  <si>
    <t>Расчет КТУ</t>
  </si>
  <si>
    <t>1lOkVOVos3ObZmJQx8EAG07SJ9ClX0W8r</t>
  </si>
  <si>
    <t>2020 Реестр проектов</t>
  </si>
  <si>
    <t>19W26m-_YLGcwtbJspW4jp1jNnulW_U716Wl8bojGmI8</t>
  </si>
  <si>
    <t>ТКР</t>
  </si>
  <si>
    <t>1Hw_N4iWKHeviUFaFZe-_behj9loHCuKQ</t>
  </si>
  <si>
    <t>Мыкало С.А. АЙВИС 2020</t>
  </si>
  <si>
    <t>12KW5WpmwMHf1WL1YLvQ5i_oXmGeL1W-z2TK0itapKAo</t>
  </si>
  <si>
    <t>КТУ по проектам</t>
  </si>
  <si>
    <t>1Zq2a-nvLGqzWsG1xaBOVZqVlWuc4yaMp</t>
  </si>
  <si>
    <t>Мыкало С.А. Пинам 2020</t>
  </si>
  <si>
    <t>1j6xGHnFjIOoN1jzVRTxbpZpa8UPsAOwELVJz3qkttV4</t>
  </si>
  <si>
    <t>Мыкало С.А. ТОО 2020</t>
  </si>
  <si>
    <t>1lXZ4fFZwtW_J0mL8bKIX1xHE2T3YfBmSwxCaWBCfzPY</t>
  </si>
  <si>
    <t>Сборка шкафов</t>
  </si>
  <si>
    <t>1aJvM205i5Q1Djp1KxIOttAK78df4Y_VkpEHLfBFIMCg</t>
  </si>
  <si>
    <t>2020 Проекты КТУ</t>
  </si>
  <si>
    <t>1zBTP_DobX3BnJJwzFvNqXR_GKTmNbOSYOLUyxngapUc</t>
  </si>
  <si>
    <t>Бойцова Г.Р. УЭС 2020</t>
  </si>
  <si>
    <t>13kwgOWdVy7wMVFhSr2PJNyfG1o21CSf4KfMK2H9STCU</t>
  </si>
  <si>
    <t>Илалова М.Н. УЭС 2020</t>
  </si>
  <si>
    <t>1MPxBrj4ikoNCLtzztvCUCB87C-Mta2PGtQLDJg2p33k</t>
  </si>
  <si>
    <t>Куницына Н.Е. УЭС 2020</t>
  </si>
  <si>
    <t>1kJgriTb1Q2RB2UKsGRsDypCd-jyS97vPZ-YMMUWEaw8</t>
  </si>
  <si>
    <t>Мыкало С.А. УЭС 2020</t>
  </si>
  <si>
    <t>1mgFGQgnX8Xqjs_xTE9_nkEVJAW2HygI1OJrvICn55vs</t>
  </si>
  <si>
    <t>Файрушина О.А. УЭС 2020</t>
  </si>
  <si>
    <t>1x48DFID_YSc6TF1trbra4J6TRfEH2lYX4qFpAgTOCXM</t>
  </si>
  <si>
    <t>1qmlm7P5RnD0E8QqSU5JBIj_TCK604USkiLAr6GM42K0</t>
  </si>
  <si>
    <t>Бойцова Г.Р. КЭР 2021</t>
  </si>
  <si>
    <t>15KtSO1INBTMJXvdf8vCtBVQL3B9yaUMA9jWtbwEhSz4</t>
  </si>
  <si>
    <t>Илалова М.Н. КЭР 2021</t>
  </si>
  <si>
    <t>1dke7VvLGBwiuhoNASbkOBTq_LS8SZL0KH4kzbq24eoI</t>
  </si>
  <si>
    <t>Куницына Н.Е. КЭР 2021</t>
  </si>
  <si>
    <t>1FLkoAIeIwlOp5HB2PS54ChjeQaGY4h1AuVNMcq0vu5E</t>
  </si>
  <si>
    <t>Мыкало С.А. КЭР 2021</t>
  </si>
  <si>
    <t>16R4th6fJAA3Ua4p-TPFYLKcnitpsEBkPss3IQvvcV4s</t>
  </si>
  <si>
    <t>Мыкало С.А. КАРНО 2021</t>
  </si>
  <si>
    <t>1uTolwgZtxXRtEYJpsI4pj-QSoBFsZaouvezQUQ_WtN0</t>
  </si>
  <si>
    <t>Файрушина О.А. КЭР 2021</t>
  </si>
  <si>
    <t>1YRxh5hO2e4qHx16Sbb1bQxJAlcE3fWpk0C2SOK3LS8Q</t>
  </si>
  <si>
    <t>Бойцова Г.Р. УЭС 2021</t>
  </si>
  <si>
    <t>1EOAuNLljNlyEJ0m0QTWZMf9cYL1hvBurYeuPPYq9wnA</t>
  </si>
  <si>
    <t>Илалова М.Н. УЭС 2021</t>
  </si>
  <si>
    <t>1c_UvSwFw5RgjtNf5pgkuES5RIDXhXnqfK_3PcU7ofmA</t>
  </si>
  <si>
    <t>Куницына Н.Е. УЭС 2021</t>
  </si>
  <si>
    <t>1cqnkGhFprnD5-yXsSyA-29WbGUt7J2Cxi40XEvE_TKQ</t>
  </si>
  <si>
    <t>Мыкало С.А. УЭС 2021</t>
  </si>
  <si>
    <t>14jN0lg-uA4Jm_6lUA20LvpYGr6FpZ8u2al56y1nTRfA</t>
  </si>
  <si>
    <t>Файрушина О.А. УЭС 2021</t>
  </si>
  <si>
    <t>1befiiesiSAqOG7RxnRttntZ8ZqsrAQpVt20TGhwOqJU</t>
  </si>
  <si>
    <t>Мыкало С.А. АЙВИС 2021</t>
  </si>
  <si>
    <t>11942jzjbC9ycuiOHDQndyCyCU8hoDO1i4PinbACl9JI</t>
  </si>
  <si>
    <t>Мыкало С.А. Пинам 2021</t>
  </si>
  <si>
    <t>1u2OUkazgD77ELixrAAZQkuFud_1JubdsONpGOY4x4RQ</t>
  </si>
  <si>
    <t>Мыкало С.А. ТОО 2021</t>
  </si>
  <si>
    <t>1Vtn0v4QFiQNu_r5FP4ZxdBU5f4FXqsJiVBmM_cXPy7M</t>
  </si>
  <si>
    <t>2021 Реестр проектов</t>
  </si>
  <si>
    <t>1xdp5rD72rWTQMwMUrfMqxiUmU_HzWVpNtPChj4EC5YA</t>
  </si>
  <si>
    <t>1KTpzCUeecKVLtKiPUsm6zkG6_7yx1yVch9eErVeu-6E</t>
  </si>
  <si>
    <t>Галиева К.В. КЭР 2021</t>
  </si>
  <si>
    <t>1i8FCRP96BXCuHvJiJnG7zNGb4L11ZquRUv6Jal6IRp4</t>
  </si>
  <si>
    <t>Галиева К.В. УЭС 2021</t>
  </si>
  <si>
    <t>11QW35lIeB4qR2iqJztf9rjUqEg6S9yzOXw9Qn79gsa4</t>
  </si>
  <si>
    <t>Бойцова Г.Р. КЭР 2022</t>
  </si>
  <si>
    <t>1-KlLEMadLfJWNFCzI8t9jzl4wIAL8ryIrCwyrwyM4mo</t>
  </si>
  <si>
    <t>Галиева К.В. КЭР 2022</t>
  </si>
  <si>
    <t>1qnFtuOsUo1E1dVd2WBrKXWUfSZUAutpqw41XnoFQW8s</t>
  </si>
  <si>
    <t>Илалова М.Н. КЭР 2022</t>
  </si>
  <si>
    <t>1K-xic7_AxDBP5rWBA7LH4HJU_2AYjEkCVGZoz1fI7QI</t>
  </si>
  <si>
    <t>Куницына Н.Е. КЭР 2022</t>
  </si>
  <si>
    <t>1Y8GOECm9TveOns3BxxAeG9UHmjWeboDiXQYU69OdRmU</t>
  </si>
  <si>
    <t>Мыкало С.А. КЭР 2022</t>
  </si>
  <si>
    <t>1fydfutqsTg7hRIar6TvgiqaC21nDbVmWE6bl3hMfgm4</t>
  </si>
  <si>
    <t>Файрушина О.А. КЭР 2022</t>
  </si>
  <si>
    <t>1crkmkn-pTMetclMLkiNhofJukA75JSEJHdHyeuTBCBo</t>
  </si>
  <si>
    <t>2022 Реестр проектов</t>
  </si>
  <si>
    <t>1X3JIk_t-u-6Rn3ME7jYR0SZ1LbRWG7TZ9xNTwXisuwg</t>
  </si>
  <si>
    <t>Бойцова Г.Р. УЭС 2022</t>
  </si>
  <si>
    <t>1wvBlpYAR7xRUkJnAnk6yW68VNUHEirkOoaSy1pESQPo</t>
  </si>
  <si>
    <t>Галиева К.В. УЭС 2022</t>
  </si>
  <si>
    <t>1fXtKg9jPxRolpICFyzfxpG3qSxYAnvESgwjhRDWBjDw</t>
  </si>
  <si>
    <t>Илалова М.Н. УЭС 2022</t>
  </si>
  <si>
    <t>1qJaLQCgy-OExYjUO7OtouUxkgSQfVIYXKIJIp5tJxas</t>
  </si>
  <si>
    <t>Куницына Н.Е. УЭС 2022</t>
  </si>
  <si>
    <t>1ysA_sar18b6KEgHO2sqGhJDCFI8hJWitzYr-mGOMH0I</t>
  </si>
  <si>
    <t>Мыкало С.А. УЭС 2022</t>
  </si>
  <si>
    <t>1Ipk9NElwE2UGOMaCJc4zaUwi_USjukH_OLUDzCHO9WE</t>
  </si>
  <si>
    <t>Файрушина О.А. УЭС 2022</t>
  </si>
  <si>
    <t>1vm-y22tfVKP1nSayXHpG6cHqjxcX-yUdM-AhW_Bn9uM</t>
  </si>
  <si>
    <t>Мыкало С.А. КАРНО 2022</t>
  </si>
  <si>
    <t>17fOnjZpxvBcosbZME5EVmUL6_gYvKuaB0K0yoiJEwL8</t>
  </si>
  <si>
    <t>Мыкало С.А. АЙВИС 2022</t>
  </si>
  <si>
    <t>1Y3Z8Kq58TKV8KOKtHoHq1JGouVh7weI4GP3uCPkoPmY</t>
  </si>
  <si>
    <t>Мыкало С.А. Пинам 2022</t>
  </si>
  <si>
    <t>1d9IlABJ-5Vhm2VigUa2qQBYWWXgJNcuta1AL2SFylZg</t>
  </si>
  <si>
    <t>Мыкало С.А. ТОО 2022</t>
  </si>
  <si>
    <t>1oABKlAxTOKpsg_oJzAsCGGbuyWICAkZZnU2kQ6_cxsg</t>
  </si>
  <si>
    <t>Галиева К.В. Пинам 2022</t>
  </si>
  <si>
    <t>1TWuOQXNFse4aZ6Zi2kOds7-Xb8TlpiBNTab30xOJamk</t>
  </si>
  <si>
    <t>Галиева К.В. ТОО 2022</t>
  </si>
  <si>
    <t>1Ekpxa5aPRxaHuDM8EFCKZTfaSjJoFQmOy91RlAKoSck</t>
  </si>
  <si>
    <t>Файрушина О.А. КАРНО 2022</t>
  </si>
  <si>
    <t>1_F6BTXmGCnishP1usXrZBAcUsAowA_xr93O-S53Fwng</t>
  </si>
  <si>
    <t>Main/agent</t>
  </si>
  <si>
    <t>Main/inn</t>
  </si>
  <si>
    <t>Main/kpp</t>
  </si>
  <si>
    <t>Контрагент</t>
  </si>
  <si>
    <t>ИНН</t>
  </si>
  <si>
    <t>КПП</t>
  </si>
  <si>
    <t>12 СТУЛЬЕВ КЗ ООО</t>
  </si>
  <si>
    <t>ООО "12 СТУЛЬЕВ КЗ"</t>
  </si>
  <si>
    <t>ComplyWorks Ltd.</t>
  </si>
  <si>
    <t>FRIGUIA S.A.</t>
  </si>
  <si>
    <t>GROUPE INNOVATION TECHNOLOGIQUE</t>
  </si>
  <si>
    <t>АБН ООО</t>
  </si>
  <si>
    <t>ООО "АБН"</t>
  </si>
  <si>
    <t>АБН ТД, ООО</t>
  </si>
  <si>
    <t>ООО ТД "АБН"</t>
  </si>
  <si>
    <t>АБС Групп ООО</t>
  </si>
  <si>
    <t>ООО "АБС Групп"</t>
  </si>
  <si>
    <t>АБС ЗЭиМ Автоматизация АО</t>
  </si>
  <si>
    <t>АО "АБС ЗЭиМ Автоматизация"</t>
  </si>
  <si>
    <t>Абсолют Банк, Акционерный коммерческий банк, ПАО</t>
  </si>
  <si>
    <t>АКБ "Абсолют Банк" (ПАО)</t>
  </si>
  <si>
    <t>АБСОЛЮТ СТРАХОВАНИЕ ООО</t>
  </si>
  <si>
    <t>ООО "АБСОЛЮТ СТРАХОВАНИЕ"</t>
  </si>
  <si>
    <t>Авеон ООО</t>
  </si>
  <si>
    <t xml:space="preserve">ООО "Авеон" </t>
  </si>
  <si>
    <t>Авеон-трейд ООО</t>
  </si>
  <si>
    <t>ООО "Авеон-трейд"</t>
  </si>
  <si>
    <t>Аверс Банк ООО</t>
  </si>
  <si>
    <t>ООО Банк "Аверс"</t>
  </si>
  <si>
    <t>Авиакомпания АЗИМУТ АО</t>
  </si>
  <si>
    <t>АО "АВИАКОМПАНИЯ АЗИМУТ"</t>
  </si>
  <si>
    <t>Авиакомпания АЗУР ЭЙР ООО</t>
  </si>
  <si>
    <t>ОБЩЕСТВО С ОГРАНИЧЕННОЙ ОТВЕТСТВЕННОСТЬЮ "АЗУР ЭЙР"</t>
  </si>
  <si>
    <t>Авиакомпания АЭРОФЛОТ ПАО</t>
  </si>
  <si>
    <t>ПУБЛИЧНОЕ АКЦИОНЕРНОЕ ОБЩЕСТВО "АЭРОФЛОТ-РОССИЙСКИЕ АВИАЛИНИИ"</t>
  </si>
  <si>
    <t>Авиакомпания Ираэро АО</t>
  </si>
  <si>
    <t>АО Авиакомпания "Ираэро"</t>
  </si>
  <si>
    <t>Авиакомпания НОРД ВИНД</t>
  </si>
  <si>
    <t>ОБЩЕСТВО С ОГРАНИЧЕННОЙ ОТВЕСТВЕННОСТЬЮ  "НОРД ВИНД"</t>
  </si>
  <si>
    <t>Авиакомпания НОРДАВИА-РА АО</t>
  </si>
  <si>
    <t>Акционерное общество "Нордавиа - Региональные Авиалинии"</t>
  </si>
  <si>
    <t>Авиакомпания НОРДСТАР</t>
  </si>
  <si>
    <t>АКЦИОНЕРНОЕ ОБЩЕСТВО "АВИАКОМПАНИЯ "НОРДСТАР"</t>
  </si>
  <si>
    <t>Авиакомпания ПОБЕДА</t>
  </si>
  <si>
    <t>ООО "АВИАКОМПАНИЯ "ПОБЕДА"</t>
  </si>
  <si>
    <t>Авиакомпания РЕД ВИНГС</t>
  </si>
  <si>
    <t>АКЦИОНЕРНОЕ ОБЩЕСТВО "РЕД ВИНГС"</t>
  </si>
  <si>
    <t>Авиакомпания Россия</t>
  </si>
  <si>
    <t>АКЦИОНЕРНОЕ ОБЩЕСТВО "АВИАКОМПАНИЯ "РОССИЯ"</t>
  </si>
  <si>
    <t>Авиакомпания РУСЛАЙН АО</t>
  </si>
  <si>
    <t>АО АК "РУСЛАЙН"</t>
  </si>
  <si>
    <t>Авиакомпания СЕВЕРНЫЙ ВЕТЕР</t>
  </si>
  <si>
    <t>ООО "СЕВЕРНЫЙ ВЕТЕР"</t>
  </si>
  <si>
    <t>Авиакомпания Сибирь ПАО</t>
  </si>
  <si>
    <t>ПАО "Авиакомпания "Сибирь"</t>
  </si>
  <si>
    <t>Авиакомпания СМАРТАВИА</t>
  </si>
  <si>
    <t>АО "АВИАКОМПАНИЯ СМАРТАВИА"</t>
  </si>
  <si>
    <t>Авиакомпания УРАЛЬСКИЕ АВИАЛИНИИ АК ОАО</t>
  </si>
  <si>
    <t>ОАО АК "УРАЛЬСКИЕ АВИАЛИНИИ"</t>
  </si>
  <si>
    <t>Авиакомпания Хабаровские авиалинии</t>
  </si>
  <si>
    <t>КГУП "Хабаровские Авиалинии"</t>
  </si>
  <si>
    <t>Авиакомпания ЮВТ АЭРО АО</t>
  </si>
  <si>
    <t>АКЦИОНЕРНОЕ ОБЩЕСТВО "ЮВТ АЭРО"</t>
  </si>
  <si>
    <t>АВИАКОМПАНИЯ ЮТЭЙР ПАО</t>
  </si>
  <si>
    <t xml:space="preserve">ПАО АВИАКОМПАНИЯ ЮТЭЙР </t>
  </si>
  <si>
    <t>Авиакомпания Якутия, АО</t>
  </si>
  <si>
    <t>АКЦИОНЕРНОЕ ОБЩЕСТВО "АВИАКОМПАНИЯ "ЯКУТИЯ"</t>
  </si>
  <si>
    <t>АВП-Групп ООО</t>
  </si>
  <si>
    <t>ООО "АВП-Групп"</t>
  </si>
  <si>
    <t xml:space="preserve">АвтоКомплект, ООО </t>
  </si>
  <si>
    <t>ООО "АвтоКомплект"</t>
  </si>
  <si>
    <t>Автоматика ТД ООО</t>
  </si>
  <si>
    <t>ООО "ТД "Автоматика"</t>
  </si>
  <si>
    <t>АВТОЮРИСТ №1 ООО</t>
  </si>
  <si>
    <t>ООО "АВТОЮРИСТ №1"</t>
  </si>
  <si>
    <t>АГАВА Конструкторское бюро ООО</t>
  </si>
  <si>
    <t>ООО "Конструкторское бюро "АГАВА"</t>
  </si>
  <si>
    <t>Агава, ООО</t>
  </si>
  <si>
    <t>ООО "Агава"</t>
  </si>
  <si>
    <t>Агенство Тендерного Консалтинга ООО</t>
  </si>
  <si>
    <t>ООО "Агенство Тендерного Консалтинга"</t>
  </si>
  <si>
    <t>АГЗРТ АО</t>
  </si>
  <si>
    <t>АО "АГЗРТ"</t>
  </si>
  <si>
    <t>АдАстрА Рисерч Груп ООО</t>
  </si>
  <si>
    <t>ООО "АдАстрА Рисерч Груп"</t>
  </si>
  <si>
    <t>АДВАНТЕК ИНЖЕНИРИНГ ООО</t>
  </si>
  <si>
    <t>Общество с ограниченной ответственностью "АДВАНТЕК ИНЖЕНИРИНГ"</t>
  </si>
  <si>
    <t>АДЛ ТД ООО</t>
  </si>
  <si>
    <t>ООО "Торговый Дом АДЛ"</t>
  </si>
  <si>
    <t>АЕТ, ООО</t>
  </si>
  <si>
    <t>ООО "АЕТ"</t>
  </si>
  <si>
    <t>Айболит Медицинский центр ООО</t>
  </si>
  <si>
    <t>ООО "Медицинский центр "Айболит"</t>
  </si>
  <si>
    <t>АЙВИС ООО</t>
  </si>
  <si>
    <t>ООО "АЙВИС"</t>
  </si>
  <si>
    <t>АйПиСи2Ю ООО</t>
  </si>
  <si>
    <t>ООО "АйПиСи2Ю"</t>
  </si>
  <si>
    <t>АйСиЭл-КПО ВС АО</t>
  </si>
  <si>
    <t>Акционерное общество "АЙСИЭЛ-КПО ВС"</t>
  </si>
  <si>
    <t>АЙТАТ КОМПАНИЯ ООО</t>
  </si>
  <si>
    <t>АЙТАТ ООО</t>
  </si>
  <si>
    <t>ООО "АЙТАТ"</t>
  </si>
  <si>
    <t>АК БАРС БАНК ПАО</t>
  </si>
  <si>
    <t xml:space="preserve">ПАО "АК БАРС" БАНК </t>
  </si>
  <si>
    <t>Академия управления и производства ЧОУ ВО</t>
  </si>
  <si>
    <t>Частное образовательное учреждение высшего образования «Академия управления и производства»</t>
  </si>
  <si>
    <t>Аква-реагент ООО</t>
  </si>
  <si>
    <t>ООО "Аква-реагент"</t>
  </si>
  <si>
    <t>Акварель РМ ООО</t>
  </si>
  <si>
    <t>ООО "РМ Акварель"</t>
  </si>
  <si>
    <t>АКВАРЕЛЬ РМ8, ООО</t>
  </si>
  <si>
    <t>ООО "АКВАРЕЛЬ РМ8"</t>
  </si>
  <si>
    <t>АКИБАНК ПАО</t>
  </si>
  <si>
    <t xml:space="preserve">ПАО "АКИБАНК" </t>
  </si>
  <si>
    <t>Акком ООО</t>
  </si>
  <si>
    <t>ООО "Акком"</t>
  </si>
  <si>
    <t>Актион-МЦФЭР НОЧУ ОДПО</t>
  </si>
  <si>
    <t>НОЧУ ОДПО "Актион-МЦФЭР"</t>
  </si>
  <si>
    <t>Актион-пресс ООО</t>
  </si>
  <si>
    <t>ООО "Актион-пресс"</t>
  </si>
  <si>
    <t>Акционерная компания Востокнефтезаводмонтаж, ПАО</t>
  </si>
  <si>
    <t>ПАО "Акционерная компания Востокнефтезаводмонтаж"</t>
  </si>
  <si>
    <t>АкЭл ПТК ООО</t>
  </si>
  <si>
    <t>ООО ПТК "АкЭл"</t>
  </si>
  <si>
    <t>Алабуга Девелопмент ООО</t>
  </si>
  <si>
    <t>ООО "Алабуга Девелопмент"</t>
  </si>
  <si>
    <t>АЛАБУГА-ВОЛОКНО ООО</t>
  </si>
  <si>
    <t>ООО "АЛАБУГА-ВОЛОКНО"</t>
  </si>
  <si>
    <t>Алексеев Е.А. ИП</t>
  </si>
  <si>
    <t>ИП Алексеев Евгений Алексеевич</t>
  </si>
  <si>
    <t>Алекто-Электроникс Фирма ООО</t>
  </si>
  <si>
    <t>ООО "Фирма Алекто-Электроникс"</t>
  </si>
  <si>
    <t>Алемако ООО</t>
  </si>
  <si>
    <t>ООО "Алемако"</t>
  </si>
  <si>
    <t>АЛИКОМ-ПЛЮС ООО</t>
  </si>
  <si>
    <t>ООО "АЛИКОМ-ПЛЮС"</t>
  </si>
  <si>
    <t>Алиса ПКФ ООО</t>
  </si>
  <si>
    <t>ООО "ПКФ "Алиса"</t>
  </si>
  <si>
    <t>АЛЛИОН ООО</t>
  </si>
  <si>
    <t>ООО "АЛЛИОН"</t>
  </si>
  <si>
    <t>АЛСУ ООО</t>
  </si>
  <si>
    <t>ООО "АЛСУ"</t>
  </si>
  <si>
    <t>АЛЬФА-БАНК АО</t>
  </si>
  <si>
    <t>АО "АЛЬФА-БАНК"</t>
  </si>
  <si>
    <t>АльфаКом ООО</t>
  </si>
  <si>
    <t>Общество с ограниченнной ответственностью ООО "АльфаКом"</t>
  </si>
  <si>
    <t>АМАКС Арматурный Завод ,ООО</t>
  </si>
  <si>
    <t>ООО Арматурный Завод "АМАКС"</t>
  </si>
  <si>
    <t>АМАКС ИК ООО</t>
  </si>
  <si>
    <t>ООО ИК "АМАКС"</t>
  </si>
  <si>
    <t>Амитрон-ЭК ООО</t>
  </si>
  <si>
    <t>ООО "Амитрон-ЭК"</t>
  </si>
  <si>
    <t>Амосов Василь Владимирович</t>
  </si>
  <si>
    <t>АМХ ИНЖИНИРИНГ БЕЛ ООО</t>
  </si>
  <si>
    <t>ООО "АМХ ИНЖИНИРИНГ БЕЛ"</t>
  </si>
  <si>
    <t>Аналитех НПЦ, ООО</t>
  </si>
  <si>
    <t>ООО "НПЦ "Аналитех"</t>
  </si>
  <si>
    <t>Аналитические приборы ТД, ООО</t>
  </si>
  <si>
    <t>ООО "ТД "Аналитические приборы"</t>
  </si>
  <si>
    <t>АНАЛИТИЧЕСКИЙ ЦЕНТР,АО</t>
  </si>
  <si>
    <t>АО "АНАЛИТИЧЕСКИЙ ЦЕНТР"</t>
  </si>
  <si>
    <t>АНАЛИТПРИБОР, СПО ФГУП</t>
  </si>
  <si>
    <t>ФГУП "СПО "АНАЛИТПРИБОР"</t>
  </si>
  <si>
    <t>АналитТеплоКонтроль, ООО</t>
  </si>
  <si>
    <t>ООО "АналитТеплоКонтроль"</t>
  </si>
  <si>
    <t>Андращук Кирилл Сергеевич ИП</t>
  </si>
  <si>
    <t>Индивидуальный предприниматель Андращук Кирилл Сергеевич</t>
  </si>
  <si>
    <t>АНКОР ИБ ООО</t>
  </si>
  <si>
    <t>ООО "Инженерное Бюро "АНКОР"</t>
  </si>
  <si>
    <t>Антей ООО</t>
  </si>
  <si>
    <t>ООО "Антей"</t>
  </si>
  <si>
    <t>АПАТОР Группа ООО</t>
  </si>
  <si>
    <t>ООО Группа "АПАТОР"</t>
  </si>
  <si>
    <t>Апекс-аудит ООО</t>
  </si>
  <si>
    <t>ООО "Апекс-аудит"</t>
  </si>
  <si>
    <t>АПРЕЛЬ.РУ ООО</t>
  </si>
  <si>
    <t>ООО "АПРЕЛЬ.РУ"</t>
  </si>
  <si>
    <t>АРГУС ООО</t>
  </si>
  <si>
    <t>ООО "АРГУС"</t>
  </si>
  <si>
    <t>АРЕНДА 720 ООО</t>
  </si>
  <si>
    <t>ООО "АРЕНДА 720"</t>
  </si>
  <si>
    <t>Армада, ООО</t>
  </si>
  <si>
    <t>ООО "Армада"</t>
  </si>
  <si>
    <t>Армадилло Бизнес Посылка АО</t>
  </si>
  <si>
    <t>Акционерное общество "Армадилло Бизнес Посылка"</t>
  </si>
  <si>
    <t>Армеец СК, АО</t>
  </si>
  <si>
    <t>АО СК "Армеец"</t>
  </si>
  <si>
    <t>Арсенал ООО</t>
  </si>
  <si>
    <t>ООО "Арсенал"</t>
  </si>
  <si>
    <t>АРТГАЗ АО</t>
  </si>
  <si>
    <t>АО "АРТГАЗ"</t>
  </si>
  <si>
    <t xml:space="preserve">Артишок, ООО </t>
  </si>
  <si>
    <t>ООО "Артишок"</t>
  </si>
  <si>
    <t>АРТЭК ООО</t>
  </si>
  <si>
    <t>ООО "АРТЭК"</t>
  </si>
  <si>
    <t>Архимед ООО</t>
  </si>
  <si>
    <t>ООО "Архимед"</t>
  </si>
  <si>
    <t>АСД-электрик Завод ООО</t>
  </si>
  <si>
    <t>ООО "Завод АСД-электрик"</t>
  </si>
  <si>
    <t>АСИС ПРО, ООО</t>
  </si>
  <si>
    <t>ООО "АСИС ПРО"</t>
  </si>
  <si>
    <t>АСПЕКТ СЕРВИС ООО</t>
  </si>
  <si>
    <t>ООО "АСПЕКТ СЕРВИС"</t>
  </si>
  <si>
    <t>АССД,ООО</t>
  </si>
  <si>
    <t>ООО "АССД"</t>
  </si>
  <si>
    <t>Ассоциация "Объединение ГрадСтройПроект"</t>
  </si>
  <si>
    <t>Ассоциация "ОСОТ"</t>
  </si>
  <si>
    <t>Ассоциация ДПО "ПЦПК машиностроения"</t>
  </si>
  <si>
    <t>АССОЦИАЦИЯ РИЭЛТОРОВ, ООО</t>
  </si>
  <si>
    <t>ООО АССОЦИАЦИЯ РИЭЛТОРОВ"</t>
  </si>
  <si>
    <t>Астэр ВТФ ООО</t>
  </si>
  <si>
    <t>ООО "ВТФ "Астэр"</t>
  </si>
  <si>
    <t>АСУ-ВЭИ ООО</t>
  </si>
  <si>
    <t>ООО "АСУ-ВЭИ"</t>
  </si>
  <si>
    <t>АТЛАНТ,ООО</t>
  </si>
  <si>
    <t>ООО "АТЛАНТ"</t>
  </si>
  <si>
    <t>Атлас Групп, ООО</t>
  </si>
  <si>
    <t>ООО "Атлас Групп"</t>
  </si>
  <si>
    <t>АТОН-ИНЖИНИРИНГ, ООО</t>
  </si>
  <si>
    <t>ООО "АТОН-ИНЖИНИРИНГ"</t>
  </si>
  <si>
    <t>АТС-КОНВЕРС ООО</t>
  </si>
  <si>
    <t>ООО "АТС-КОНВЕРС"</t>
  </si>
  <si>
    <t>АТТЕСТАЦИЯ-Плюс ДО ЧОУ</t>
  </si>
  <si>
    <t>Частное образовательное Учреждение Дополнительного Образования "АТТЕСТАЦИЯ-Плюс"</t>
  </si>
  <si>
    <t>АТТЕСТАЦИЯ-ПЛЮС ООО</t>
  </si>
  <si>
    <t>ООО "АТТЕСТАЦИЯ-ПЛЮС"</t>
  </si>
  <si>
    <t>АТЭКС-Электро ООО</t>
  </si>
  <si>
    <t>ООО "АТЭКС-Электро"</t>
  </si>
  <si>
    <t>Афанасьев Максим Владимирович ИП</t>
  </si>
  <si>
    <t xml:space="preserve">ИП Афанасьев Максим Владимирович </t>
  </si>
  <si>
    <t>Ахмадеев Артур Радикович ИП</t>
  </si>
  <si>
    <t>Индивидуальный предприниматель Ахмадеев Артур Радикович</t>
  </si>
  <si>
    <t>АЭМ-технологии АО Филиал «Петрозаводскмаш» в г. Петрозаводск</t>
  </si>
  <si>
    <t>Филиал АО "АЭМ-технологии" "Петрозаводскмаш" в г. Петрозаводск</t>
  </si>
  <si>
    <t>Базис Терра ООО</t>
  </si>
  <si>
    <t>ООО "Базис Терра"</t>
  </si>
  <si>
    <t>Байкал-Сервис Набережные Челны, ООО</t>
  </si>
  <si>
    <t>ООО "Байкал-Сервис Набережные Челны"</t>
  </si>
  <si>
    <t>Байкал-Сервис ООО</t>
  </si>
  <si>
    <t>ООО "Байкал-Сервис"</t>
  </si>
  <si>
    <t>Байкал-Сервис ТК, ООО</t>
  </si>
  <si>
    <t>ООО "Байкал-Сервис ТК"</t>
  </si>
  <si>
    <t>Балтийский лизинг АО</t>
  </si>
  <si>
    <t>АО "Балтийский лизинг"</t>
  </si>
  <si>
    <t>Балтийский лизинг, ООО</t>
  </si>
  <si>
    <t>ООО "Балтийский лизинг"</t>
  </si>
  <si>
    <t>Балясникова Анастасия Александровна</t>
  </si>
  <si>
    <t>Баннова Аграфена Алексеевна</t>
  </si>
  <si>
    <t>БАРС-ЭЛЕКТРО ООО</t>
  </si>
  <si>
    <t>ООО "БАРС-ЭЛЕКТРО"</t>
  </si>
  <si>
    <t>БАРС-ЭЛЕКТРО,ООО</t>
  </si>
  <si>
    <t>Бастион ЭК, ООО</t>
  </si>
  <si>
    <t>ООО "Бастион ЭК"</t>
  </si>
  <si>
    <t>Батищева Наталья Анатольевна ИП</t>
  </si>
  <si>
    <t xml:space="preserve">ИП Батищева Наталья Анатольевна </t>
  </si>
  <si>
    <t>Батт Людмила Геннадьевна ИП</t>
  </si>
  <si>
    <t xml:space="preserve">ИП Батт Людмила Геннадьевна </t>
  </si>
  <si>
    <t>Бачурина Е.М. ИП</t>
  </si>
  <si>
    <t xml:space="preserve">ИП Бачурина Е.М. </t>
  </si>
  <si>
    <t>Башпромбезопасность, ООО</t>
  </si>
  <si>
    <t>ООО "Башпромбезопасность"</t>
  </si>
  <si>
    <t>ББРС.РУ, ООО</t>
  </si>
  <si>
    <t>ООО "ББРС.РУ "</t>
  </si>
  <si>
    <t>БГК ООО</t>
  </si>
  <si>
    <t>ООО "Башкирская генерирующая компания"</t>
  </si>
  <si>
    <t>БД СЕНСОРС РУС, ООО</t>
  </si>
  <si>
    <t>ООО "БД СЕНСОРС РУС"</t>
  </si>
  <si>
    <t>Безопасность ВО АО Казанский филиал</t>
  </si>
  <si>
    <t>Казанский филиал АО "ВО "Безопасность"</t>
  </si>
  <si>
    <t>Безопасность труда ПКФ ООО</t>
  </si>
  <si>
    <t>ООО "ПКФ Безопасность труда"</t>
  </si>
  <si>
    <t>Белорусский государственный институт метрологии РУП</t>
  </si>
  <si>
    <t>Республиканское унитарное предприятие "Белорусский государственный институт метрологии" (БелГИМ)</t>
  </si>
  <si>
    <t>Белфорт ООО</t>
  </si>
  <si>
    <t xml:space="preserve">ООО "Белфорт " </t>
  </si>
  <si>
    <t xml:space="preserve">БИАКС КОМПАНИЯ, ООО </t>
  </si>
  <si>
    <t>ООО "КОМПАНИЯ БИАКС"</t>
  </si>
  <si>
    <t>Бизнес Медия Холдинг ООО</t>
  </si>
  <si>
    <t>ООО "Бизнес Медия Холдинг"</t>
  </si>
  <si>
    <t>Битек НПФ ООО</t>
  </si>
  <si>
    <t>ООО "НПФ Битек"</t>
  </si>
  <si>
    <t>БКК, ООО</t>
  </si>
  <si>
    <t>ООО "БКК"</t>
  </si>
  <si>
    <t xml:space="preserve">Бойцов Дмитрий Николаевич </t>
  </si>
  <si>
    <t>БРЕНДСТАР ООО</t>
  </si>
  <si>
    <t>ООО "БРЕНДСТАР"</t>
  </si>
  <si>
    <t>Бугаев Василий Леонидович ИП</t>
  </si>
  <si>
    <t>Индивидуальный предприниматель Бугаев Василий Леонидович</t>
  </si>
  <si>
    <t>БУЗ УР "УРЦ СПИД и ИЗ" (Бюджетное учреждение здравоохранения УР "Удмуртский республиканский центр по профилактике и борьбе со СПИДом и инфек.заб-ями"</t>
  </si>
  <si>
    <t>БУЗ УР "УРЦ СПИД и ИЗ"</t>
  </si>
  <si>
    <t xml:space="preserve">Бумажник, Частное медицинское учреждение  </t>
  </si>
  <si>
    <t>ЧМУ  "Бумажник"</t>
  </si>
  <si>
    <t>Бурганов Ришат Рафаэльевич ИП</t>
  </si>
  <si>
    <t>ИП Бурганов Ришат Рафаэльевич</t>
  </si>
  <si>
    <t>Буревестник ООО</t>
  </si>
  <si>
    <t>ООО "Буревестник"</t>
  </si>
  <si>
    <t>Бутырских Надежда Сергеевна ИП</t>
  </si>
  <si>
    <t xml:space="preserve">ИП Бутырских Надежда Сергеевна </t>
  </si>
  <si>
    <t>Вакууммаш ТПФ ООО</t>
  </si>
  <si>
    <t>ООО Торгово-производственная Фирма "Вакууммаш"</t>
  </si>
  <si>
    <t>Валмет АО</t>
  </si>
  <si>
    <t>АО "Валмет"</t>
  </si>
  <si>
    <t>Васильевский, санаторий</t>
  </si>
  <si>
    <t>Лечебно-профилактическое частное учреждение профсоюзов санаторий "Васильесвский"</t>
  </si>
  <si>
    <t>ВЕГА ИНСТРУМЕНТС, ООО</t>
  </si>
  <si>
    <t>ООО "ВЕГА ИНСТРУМЕНТС"</t>
  </si>
  <si>
    <t>ВекоНТ НПК ООО</t>
  </si>
  <si>
    <t>ООО "НПК "ВекоНТ"</t>
  </si>
  <si>
    <t>ВЕКТОР ООО</t>
  </si>
  <si>
    <t>ООО "ВЕКТОР"</t>
  </si>
  <si>
    <t>ВЕЛМАС-КАЗАНЬ ООО</t>
  </si>
  <si>
    <t>ООО "ВЕЛМАС-КАЗАНЬ"</t>
  </si>
  <si>
    <t>ВЕРТЕС Петербург, ООО</t>
  </si>
  <si>
    <t>ООО "ВЕРТЕС Петербург"</t>
  </si>
  <si>
    <t>Верхнетагильская ГРЭС фил-л Интер РАО- Электрогенерация</t>
  </si>
  <si>
    <t>Филиал "Верхнетагильская ГРЭС" АО "Интер РАО- Электрогенерация"</t>
  </si>
  <si>
    <t>Ветелкин Евгений Валентинович</t>
  </si>
  <si>
    <t>Взлет-Кама ООО</t>
  </si>
  <si>
    <t>ООО "Взлет-Кама"</t>
  </si>
  <si>
    <t>ВЗЛЁТСЕРВИС ООО</t>
  </si>
  <si>
    <t>ООО "ВЗЛЁТСЕРВИС"</t>
  </si>
  <si>
    <t>ВЗОР ООО</t>
  </si>
  <si>
    <t>ООО "ВЗОР"</t>
  </si>
  <si>
    <t>ВЗЭМИ,ООО</t>
  </si>
  <si>
    <t>ООО "ВЗЭМИ"</t>
  </si>
  <si>
    <t>ВИБРАТОР АО</t>
  </si>
  <si>
    <t xml:space="preserve">АО "Приборостроительный завод "ВИБРАТОР" </t>
  </si>
  <si>
    <t>Вибро-Центр ПВФ, ООО</t>
  </si>
  <si>
    <t>ООО ПВФ "Вибро-Центр"</t>
  </si>
  <si>
    <t>ВИБРОБИТ НПП ООО</t>
  </si>
  <si>
    <t>ООО НПП "ВИБРОБИТ"</t>
  </si>
  <si>
    <t>ВИСКОМ ООО</t>
  </si>
  <si>
    <t>ООО "ВИСКОМ"</t>
  </si>
  <si>
    <t>Вистарос ООО</t>
  </si>
  <si>
    <t>ООО "Вистарос"</t>
  </si>
  <si>
    <t>ВМ-Энергия ООО</t>
  </si>
  <si>
    <t>Общество с ограниченной ответственностью "Винтовые машины - энергия"</t>
  </si>
  <si>
    <t>ВНИИГ им. Б.Е. Веденеева АО</t>
  </si>
  <si>
    <t>Акционерное общество "Всероссийский научно-исследовательский институт гидротехники имени Б.Е.Веденеева"</t>
  </si>
  <si>
    <t>ВО Безопасность АО</t>
  </si>
  <si>
    <t>АО "ВО "Безопасность"</t>
  </si>
  <si>
    <t>Воеводина Юлия Александровна</t>
  </si>
  <si>
    <t>Волга АО</t>
  </si>
  <si>
    <t>АО "Волга"</t>
  </si>
  <si>
    <t>ВОЛГА-АВТОМАТИКА НПК ООО</t>
  </si>
  <si>
    <t>ООО "Научно-производственная компания "ВОЛГА-АВТОМАТИКА "</t>
  </si>
  <si>
    <t>Волгаэлектросбыт ТД ООО</t>
  </si>
  <si>
    <t xml:space="preserve">ООО  "ТД "Волгаэлектросбыт" </t>
  </si>
  <si>
    <t>ВОЛЖСКИЙ ЭЛЕКТРОКОНТАКТ, ООО</t>
  </si>
  <si>
    <t>ООО "ВОЛЖСКИЙ ЭЛЕКТРОКОНТАКТ"</t>
  </si>
  <si>
    <t>Волмаг ЗАО</t>
  </si>
  <si>
    <t>ЗАО "Волмаг"</t>
  </si>
  <si>
    <t>Ворончихин Василий Иванович ИП</t>
  </si>
  <si>
    <t xml:space="preserve">ИП Ворончихин В.И. </t>
  </si>
  <si>
    <t>Восток ЭК АО</t>
  </si>
  <si>
    <t>АО "ЭК "Восток"</t>
  </si>
  <si>
    <t>Восток-Транзит ООО</t>
  </si>
  <si>
    <t>ООО "Восток-Транзит"</t>
  </si>
  <si>
    <t xml:space="preserve">ВОСТОЧНЫЙ МОСТ,ООО </t>
  </si>
  <si>
    <t>ООО "ВОСТОЧНЫЙ МОСТ"</t>
  </si>
  <si>
    <t>ВсеИнструменты.ру ООО</t>
  </si>
  <si>
    <t>ООО "ВсеИнструменты.ру"</t>
  </si>
  <si>
    <t>ВТБ 24 Филиал №6318</t>
  </si>
  <si>
    <t>Филиал №6318 Банка ВТБ 24 (ПАО)  г.Самара</t>
  </si>
  <si>
    <t>ВТБ Банк (ПАО)</t>
  </si>
  <si>
    <t>Банк ВТБ  (ПАО)</t>
  </si>
  <si>
    <t>ВТБ Факторинг, ООО</t>
  </si>
  <si>
    <t>ООО ВТБ Факторинг</t>
  </si>
  <si>
    <t>ВТП Сервис Групп,ООО</t>
  </si>
  <si>
    <t>ООО "ВТП Сервис Групп"</t>
  </si>
  <si>
    <t>ВымпелКом ПАО</t>
  </si>
  <si>
    <t>ПАО "ВымпелКом"</t>
  </si>
  <si>
    <t>ВЭЛАН ООО</t>
  </si>
  <si>
    <t>ООО "ВЭЛАН"</t>
  </si>
  <si>
    <t>ВЭЛАН Торговый Дом ООО</t>
  </si>
  <si>
    <t>ООО "Торговый дом "ВЭЛАН"</t>
  </si>
  <si>
    <t>Вэлд Плюс Торговая Компания ООО</t>
  </si>
  <si>
    <t>ООО "Торговая Компания Вэлд Плюс"</t>
  </si>
  <si>
    <t>ВЭМ КМУ ООО</t>
  </si>
  <si>
    <t>ООО "ВЭМ КМУ"</t>
  </si>
  <si>
    <t>Вятский Берег ООО</t>
  </si>
  <si>
    <t>ООО "Вятский Берег"</t>
  </si>
  <si>
    <t xml:space="preserve">Газ ФАРМЭК, ООО </t>
  </si>
  <si>
    <t>ООО "Газ ФАРМЭК"</t>
  </si>
  <si>
    <t>ГАЗ-АНАЛИТИК ООО</t>
  </si>
  <si>
    <t>ООО "ГАЗ-АНАЛИТИК"</t>
  </si>
  <si>
    <t>Газизуллин Руслан Алмасович ИП</t>
  </si>
  <si>
    <t>Индивидуальный предприниматель Газизуллин Руслан Алмасович</t>
  </si>
  <si>
    <t>Газнефтеторг.ру ООО</t>
  </si>
  <si>
    <t>ООО "ГазНефтеторг.ру"</t>
  </si>
  <si>
    <t>Газпром газораспределение Самара ООО</t>
  </si>
  <si>
    <t>ООО "Газпром газораспределение Самара"</t>
  </si>
  <si>
    <t>Газпром недра ООО</t>
  </si>
  <si>
    <t>ООО "Газпром недра"</t>
  </si>
  <si>
    <t xml:space="preserve">Галимуллин Ришат Шамилович </t>
  </si>
  <si>
    <t>Галкин Михаил Владимирович</t>
  </si>
  <si>
    <t>Галкина Екатерина Владимировна</t>
  </si>
  <si>
    <t>Галкина Любовь Михайловна</t>
  </si>
  <si>
    <t>Галкина Марина Андреевна</t>
  </si>
  <si>
    <t>Галкина Татьяна Владимировна</t>
  </si>
  <si>
    <t>Галлямова Венира Гизетдиновна</t>
  </si>
  <si>
    <t>Гамма Технологии ,НИ Л ТОО</t>
  </si>
  <si>
    <t>ТОО Научно-Исследовательская Лаборатория "Гамма Технологии"</t>
  </si>
  <si>
    <t>Гараев Ильнар Миргасимович ИП</t>
  </si>
  <si>
    <t xml:space="preserve">ИП Гараев Ильнар Миргасимович </t>
  </si>
  <si>
    <t>Гарвин Индастриал ООО</t>
  </si>
  <si>
    <t>ООО "Гарвин Индастриал"</t>
  </si>
  <si>
    <t>ГАРМОНИКА ООО</t>
  </si>
  <si>
    <t>ООО "ГАРМОНИКА"</t>
  </si>
  <si>
    <t>ГАРПИЯ ООО</t>
  </si>
  <si>
    <t>ООО "ГАРПИЯ"</t>
  </si>
  <si>
    <t>ГЕО Ассоциация</t>
  </si>
  <si>
    <t>Ассоциация "ГЕО"</t>
  </si>
  <si>
    <t>Геолинк Ньютек ООО</t>
  </si>
  <si>
    <t>ООО "Геолинк Ньютек"</t>
  </si>
  <si>
    <t>ГЕОС НПП ООО</t>
  </si>
  <si>
    <t>ООО НПП "ГЕОС"</t>
  </si>
  <si>
    <t>Гибазов Рустам Асхатович ИП</t>
  </si>
  <si>
    <t>Гидроэлектромонтаж ООО</t>
  </si>
  <si>
    <t>ООО "Гидроэлектромонтаж"</t>
  </si>
  <si>
    <t xml:space="preserve">Гильфанов Радик Хуснимухаметович </t>
  </si>
  <si>
    <t>Гильфанов Радик Хуснимухаметович ИП</t>
  </si>
  <si>
    <t>Индивидуальный предприниматель Гильфанов Радик Хуснимухаметович</t>
  </si>
  <si>
    <t>Гималаи НПП ООО</t>
  </si>
  <si>
    <t>ООО НПП "Гималаи"</t>
  </si>
  <si>
    <t>ГКС НПП ООО (Научно-производственное предприятие)</t>
  </si>
  <si>
    <t>ООО НПП "ГКС"</t>
  </si>
  <si>
    <t>Главное управление МЧС России по РТ</t>
  </si>
  <si>
    <t>Глазырина Оксана ИП</t>
  </si>
  <si>
    <t>Индивидуальный предприниматель Глазырина Оксана</t>
  </si>
  <si>
    <t>Глобал Сервисез ООО</t>
  </si>
  <si>
    <t>ООО "Глобал Сервисез"</t>
  </si>
  <si>
    <t>Глобал Электро ООО</t>
  </si>
  <si>
    <t>ООО "Глобал Электро"</t>
  </si>
  <si>
    <t>ГНД Набережночелнинский клинический наркологический диспансер фил-л ГАУЗ "РКНД МЗ РТ"</t>
  </si>
  <si>
    <t>Министерство финансов Республики Татарстан (ГАУЗ "РКНД МЗ РТ")</t>
  </si>
  <si>
    <t>ГНД Набережночелнинский наркологический диспансер фил-л ГАУЗ "Республиканский наркологический диспансер МЗ РТ" (устар.с 28.03.2022)</t>
  </si>
  <si>
    <t>ДК МФ РТ (НЧНД ГАУЗ "РНД МЗ РТ")</t>
  </si>
  <si>
    <t>Головко Иван Сергеевич</t>
  </si>
  <si>
    <t>ГОРЭЛТЕХ ЗАВОД  ООО</t>
  </si>
  <si>
    <t>ООО "ЗАВОД ГОРЭЛТЕХ"</t>
  </si>
  <si>
    <t>Гостиница ООО</t>
  </si>
  <si>
    <t>ООО "Гостиница"</t>
  </si>
  <si>
    <t>ГП КОНТАКТ-ПРИБОР, ООО</t>
  </si>
  <si>
    <t>ООО "ГП КОНТАКТ-ПРИБОР"</t>
  </si>
  <si>
    <t>ГРАНД СЕРВИС ЭКСПРЕСС ТК, АО</t>
  </si>
  <si>
    <t>АО ТК "ГРАНД СЕРВИС ЭКСПРЕСС"</t>
  </si>
  <si>
    <t>Гранта Страховая компания ООО</t>
  </si>
  <si>
    <t xml:space="preserve">ООО "Страховая компания "Гранта" </t>
  </si>
  <si>
    <t>Гришин Алексей Львович</t>
  </si>
  <si>
    <t>Гродноэнерго РУП</t>
  </si>
  <si>
    <t>Гродненского республиканского унитарного предприятия электроэнергетики "Гродноэнерго"</t>
  </si>
  <si>
    <t xml:space="preserve">ГРУППА АЙТЕКС, ООО </t>
  </si>
  <si>
    <t>ООО "ГРУППА АЙТЕКС"</t>
  </si>
  <si>
    <t>Группа компаний СК, ООО</t>
  </si>
  <si>
    <t>ООО "Группа компаний СК"</t>
  </si>
  <si>
    <t>Гугин Алексей Леонидович, ИП</t>
  </si>
  <si>
    <t>ИП Гугин Алексей Леонидович</t>
  </si>
  <si>
    <t>Гуль Евгений Владимирович</t>
  </si>
  <si>
    <t>Гуртовой Илья Андреевич ИП</t>
  </si>
  <si>
    <t>Индивидуальный предприниматель Гуртовой Илья Андреевич</t>
  </si>
  <si>
    <t>Даже если ООО</t>
  </si>
  <si>
    <t>ООО "Даже если"</t>
  </si>
  <si>
    <t>Дальневосточная генерирующая компания АО</t>
  </si>
  <si>
    <t>АО "Дальневосточная генерирующая компания"</t>
  </si>
  <si>
    <t>Данилин Денис Александрович</t>
  </si>
  <si>
    <t>Данилов Евгений Степанович ИП</t>
  </si>
  <si>
    <t>Индивидуальный предприниматель Данилов Евгений Степанович</t>
  </si>
  <si>
    <t xml:space="preserve">Данфосс, ООО </t>
  </si>
  <si>
    <t>ООО "Данфосс"</t>
  </si>
  <si>
    <t>Дарвиш Самер Юсеф Мустафа ИП</t>
  </si>
  <si>
    <t>Индивидуальный предприниматель Дарвиш Самер Юсеф Мустафа</t>
  </si>
  <si>
    <t>ДатаМарк ООО</t>
  </si>
  <si>
    <t>ООО "ДатаМарк"</t>
  </si>
  <si>
    <t>Девон-Кредит АБ (ПАО)</t>
  </si>
  <si>
    <t>Акционерный банк "Девон-Кредит" (ПАО)</t>
  </si>
  <si>
    <t>ДЕКАТЕРМ, ООО</t>
  </si>
  <si>
    <t>ООО "ДЕКАТЕРМ"</t>
  </si>
  <si>
    <t>Деловые линии ООО</t>
  </si>
  <si>
    <t>ООО "Деловые линии"</t>
  </si>
  <si>
    <t>Дельта-КИП, ООО</t>
  </si>
  <si>
    <t>ООО "Дельта-КИП"</t>
  </si>
  <si>
    <t>Дельта-КМ АНБ ООО</t>
  </si>
  <si>
    <t>Общество с ограниченной ответственностью "Ассоциация независимых предпринимателей в сфере услуг безопасности "Дельта-КМ"</t>
  </si>
  <si>
    <t>ДЕПО Электроникс, ООО</t>
  </si>
  <si>
    <t>ООО "ДЕПО Электроникс"</t>
  </si>
  <si>
    <t>Держава ООО</t>
  </si>
  <si>
    <t>ООО "Держава"</t>
  </si>
  <si>
    <t>Джи Эм Си Консалтинг ООО</t>
  </si>
  <si>
    <t>ООО "Джи Эм Си Консалтинг"</t>
  </si>
  <si>
    <t>ДжиИ Рус Инфра ООО</t>
  </si>
  <si>
    <t>ООО "ДжиИ Рус Инфра"</t>
  </si>
  <si>
    <t>ДжиИ Рус ООО</t>
  </si>
  <si>
    <t>ООО "ДжиИ Рус"</t>
  </si>
  <si>
    <t>Ди энд Эл Оценка ООО</t>
  </si>
  <si>
    <t>ООО "Ди энд Эл Оценка"</t>
  </si>
  <si>
    <t>ДИАКОМ ООО</t>
  </si>
  <si>
    <t>ООО "ДИАКОМ"</t>
  </si>
  <si>
    <t>Диаконт АО</t>
  </si>
  <si>
    <t>АО "Диаконт"</t>
  </si>
  <si>
    <t>Дикарев Евгений Александрович</t>
  </si>
  <si>
    <t>Диментьев Максим Валерьевич</t>
  </si>
  <si>
    <t>Димрус ООО</t>
  </si>
  <si>
    <t>ООО "Димрус"</t>
  </si>
  <si>
    <t>Дистрибьюшен компани, ООО</t>
  </si>
  <si>
    <t>ООО "Дистрибьюшен компани"</t>
  </si>
  <si>
    <t>ДНС Ритейл ООО</t>
  </si>
  <si>
    <t>Долголев Олег Леонидович</t>
  </si>
  <si>
    <t>Досиков Булат Ильязович ИП</t>
  </si>
  <si>
    <t>Индивидуальный предприниматель Досиков Булат Ильязович</t>
  </si>
  <si>
    <t>ДПД РУС АО</t>
  </si>
  <si>
    <t>АО "ДПД РУС"</t>
  </si>
  <si>
    <t>ДХЛ Интернешнл АО</t>
  </si>
  <si>
    <t>АО "ДХЛ Интернешнл"</t>
  </si>
  <si>
    <t>Евраз Автоматика ООО</t>
  </si>
  <si>
    <t>ООО "Евраз Автоматика"</t>
  </si>
  <si>
    <t>ЕВРАЗ КГОК АО</t>
  </si>
  <si>
    <t>Акционерное общество "ЕВРАЗ Качканарский горно-обогатительный комбинат"</t>
  </si>
  <si>
    <t>ЕВРОАВТОМАТИКА, ООО</t>
  </si>
  <si>
    <t>ООО "ЕВРОАВТОМАТИКА"</t>
  </si>
  <si>
    <t>Евробат, ООО</t>
  </si>
  <si>
    <t>ООО "Евробат"</t>
  </si>
  <si>
    <t>Европейская Электротехника ИЦ ООО</t>
  </si>
  <si>
    <t>ООО "ИЦ "Европейская Электротехника"</t>
  </si>
  <si>
    <t>ЕВРОПРИБОР ООО</t>
  </si>
  <si>
    <t>ООО "ЕВРОПРИБОР"</t>
  </si>
  <si>
    <t>Евсеев Евгений Викторович, ИП</t>
  </si>
  <si>
    <t>ИП Евсеев Евгений Викторович</t>
  </si>
  <si>
    <t>Единая электронная торговая площадка АО</t>
  </si>
  <si>
    <t>АО "Единая электронная торговая площадка"</t>
  </si>
  <si>
    <t>ЕНЕРГИЯ-ОРГРЕС ЕООД</t>
  </si>
  <si>
    <t>ЕООД "ЕНЕРГИЯ-ОРГРЕС"</t>
  </si>
  <si>
    <t>ЕПЛАН программное обеспечение и услуги ООО</t>
  </si>
  <si>
    <t>ООО "ЕПЛАН программное обеспечение и услуги"</t>
  </si>
  <si>
    <t>Желдорэкспедиция-НН, ООО</t>
  </si>
  <si>
    <t>ООО "Желдорэкспедиция-НН"</t>
  </si>
  <si>
    <t>ЖелДорЭкспедиция, ООО</t>
  </si>
  <si>
    <t>ООО "ЖелДорЭкспедиция"</t>
  </si>
  <si>
    <t>ЖЕЛЕЗО Торговая компания, ООО</t>
  </si>
  <si>
    <t>ООО Торговая Компания "ЖЕЛЕЗО"</t>
  </si>
  <si>
    <t>Загайнова Юлия Сергеевна, ИП</t>
  </si>
  <si>
    <t>ИП Загайнова Юлия Сергеевна</t>
  </si>
  <si>
    <t>Закамская медиа группа ООО</t>
  </si>
  <si>
    <t>ООО "Закамская медиа группа"</t>
  </si>
  <si>
    <t>Закиров Айрат Файзелахатович, ИП</t>
  </si>
  <si>
    <t>ИП Закиров Айрат Файзелахатович</t>
  </si>
  <si>
    <t>ЗАММ, ООО</t>
  </si>
  <si>
    <t>ООО "ЗАММ"</t>
  </si>
  <si>
    <t>ЗапСибНефтехим ООО</t>
  </si>
  <si>
    <t>ООО "ЗапСибНефтехим"</t>
  </si>
  <si>
    <t>ЗВЕЗДА-ЭКСПЕРТ ООО</t>
  </si>
  <si>
    <t>ООО "ЗВЕЗДА-ЭКСПЕРТ"</t>
  </si>
  <si>
    <t>Здоровье семьи М, ООО</t>
  </si>
  <si>
    <t>ООО "Здоровье семьи М"</t>
  </si>
  <si>
    <t>Зелаз ООО</t>
  </si>
  <si>
    <t>Общество с огранченной ответственностью "Зелаз"</t>
  </si>
  <si>
    <t>Зенит Банк ПАО</t>
  </si>
  <si>
    <t>ПАО Банк Зенит</t>
  </si>
  <si>
    <t>Зенит ООО</t>
  </si>
  <si>
    <t>ООО "Зенит"</t>
  </si>
  <si>
    <t>Зеркаль Галина Николаевна ИП</t>
  </si>
  <si>
    <t xml:space="preserve">ИП Зеркаль Галина Николаевна </t>
  </si>
  <si>
    <t>Зетта Страхование, ООО</t>
  </si>
  <si>
    <t>ООО "Зетта Страхование"</t>
  </si>
  <si>
    <t>ЗИМ Промпривод ООО</t>
  </si>
  <si>
    <t>ООО "ЗИМ Промпривод"</t>
  </si>
  <si>
    <t>Зиннуров Ильнур Мансурович ИП</t>
  </si>
  <si>
    <t>ИП Зиннуров Ильнур Мансурович</t>
  </si>
  <si>
    <t>ЗМА, ООО</t>
  </si>
  <si>
    <t>ООО "ЗМА"</t>
  </si>
  <si>
    <t>Золотая шильда ООО</t>
  </si>
  <si>
    <t>ООО "Золотая шильда"</t>
  </si>
  <si>
    <t>Иванова Елена Сергеевна</t>
  </si>
  <si>
    <t>Иванова Мария Алексеевна ИП</t>
  </si>
  <si>
    <t>Индивидуальный предприниматель Иванова Мария Алексеевна</t>
  </si>
  <si>
    <t xml:space="preserve">Игнатьев Вячеслав Александрович </t>
  </si>
  <si>
    <t>ИД Евро 18 ООО</t>
  </si>
  <si>
    <t>ООО "ИД Евро 18"</t>
  </si>
  <si>
    <t>Ижавиа, АО</t>
  </si>
  <si>
    <t>АО "Ижавиа"</t>
  </si>
  <si>
    <t>Измайлова Татьяна Федоровна</t>
  </si>
  <si>
    <t xml:space="preserve">ИЗМЕРИТЕЛЬНАЯ ТЕХНИКА, ООО </t>
  </si>
  <si>
    <t>ООО "ИЗМЕРИТЕЛЬНАЯ ТЕХНИКА"</t>
  </si>
  <si>
    <t>Измерительные технологии НПП ООО</t>
  </si>
  <si>
    <t>ООО "Научно-производственное предприятие "Измерительные технологии"</t>
  </si>
  <si>
    <t>ИКЕЯ ДОМ ООО</t>
  </si>
  <si>
    <t>ООО "ИКЕЯ ДОМ"</t>
  </si>
  <si>
    <t>Ильина Юлия Радиковна Индивидуальный предприниматель</t>
  </si>
  <si>
    <t xml:space="preserve">Индивидуальный предприниматель Ильина Юлия Радиковна </t>
  </si>
  <si>
    <t>Иновация ГК ООО</t>
  </si>
  <si>
    <t>ООО "ГК Иновация"</t>
  </si>
  <si>
    <t>ИнСАТ ООО</t>
  </si>
  <si>
    <t>ООО "ИнСАТ"</t>
  </si>
  <si>
    <t>Интеграл Автоматика ООО</t>
  </si>
  <si>
    <t>ООО "Интеграл Автоматика"</t>
  </si>
  <si>
    <t>Интеграл Фирма ООО</t>
  </si>
  <si>
    <t>ООО "Фирма "Интеграл"</t>
  </si>
  <si>
    <t>ИНТЕЛЛЕКТ ЦЕНТР ООО (Марий Эл)</t>
  </si>
  <si>
    <t>ООО "ИНТЕЛЛЕКТ ЦЕНТР"</t>
  </si>
  <si>
    <t>ИНТЕЛЛЕКТ ЦЕНТР, ООО</t>
  </si>
  <si>
    <t>Интер РАО-Центр управления закупками ООО</t>
  </si>
  <si>
    <t>ООО "Интер РАО-Центр управления закупками"</t>
  </si>
  <si>
    <t>Интер РАО-Электрогенерация АО</t>
  </si>
  <si>
    <t>Акционерное общество "Интер РАО-Электрогенерация"</t>
  </si>
  <si>
    <t>ИнтерМедиаСервис Рекламная производственная компания ООО</t>
  </si>
  <si>
    <t>ООО "Рекламная производственная компания" ИнтерМедиаСервис"</t>
  </si>
  <si>
    <t>ИНТЕРФАКС АО</t>
  </si>
  <si>
    <t>АО "ИНТЕРФАКС"</t>
  </si>
  <si>
    <t>ИНТЕРЮНИС-ИТ ООО</t>
  </si>
  <si>
    <t>ООО "ИНТЕРЮНИС-ИТ"</t>
  </si>
  <si>
    <t>ИНФОПРО ГК ООО</t>
  </si>
  <si>
    <t>ООО "ГК ИНФОПРО"</t>
  </si>
  <si>
    <t>Информпроект ООО</t>
  </si>
  <si>
    <t>ООО "Информпроект"</t>
  </si>
  <si>
    <t>ИНЭСИС ООО</t>
  </si>
  <si>
    <t>ООО "ИНЭСИС"</t>
  </si>
  <si>
    <t>ИПС-Компьютеры ООО</t>
  </si>
  <si>
    <t>ООО "ИПС-Компьютеры"</t>
  </si>
  <si>
    <t>Иркутскэнерго ПАО</t>
  </si>
  <si>
    <t>ПАО "Иркутскэнерго"</t>
  </si>
  <si>
    <t>Иркутскэнергоремонт АО</t>
  </si>
  <si>
    <t>АО "Иркутскэнергоремонт"</t>
  </si>
  <si>
    <t>Иркутскэнергоремонт ООО</t>
  </si>
  <si>
    <t>ООО "Иркутскэнергоремонт"</t>
  </si>
  <si>
    <t>ИТ-парк Технопарк в сфере высоких технологий ГАУ</t>
  </si>
  <si>
    <t>Государственное автономное учреждение "Технопарк в сфере высоких технологий "ИТ-парк"</t>
  </si>
  <si>
    <t>ИФМ-электроник, ООО</t>
  </si>
  <si>
    <t>ИЭС (ИНСТИТУТ ЭНЕРГЕТИЧЕСКИХ СИСТЕМ) ООО</t>
  </si>
  <si>
    <t>ООО "ИЭС"</t>
  </si>
  <si>
    <t>Казанская кабельная компания ООО</t>
  </si>
  <si>
    <t>ООО "Казанская кабельная компания"</t>
  </si>
  <si>
    <t>Казанская кабельная компания ПКФ, ООО</t>
  </si>
  <si>
    <t>ООО ПКФ "Казанская кабельная компания"</t>
  </si>
  <si>
    <t>Казанская ТЭЦ-3 филиал АО "ТГК-16"</t>
  </si>
  <si>
    <t>Филиал АО "ТГК-16" - "Казанская ТЭЦ-3"</t>
  </si>
  <si>
    <t>Казанский государственный казенный пороховой завод ФКП</t>
  </si>
  <si>
    <t>ФКП "Казанский государственный казенный пороховой завод"</t>
  </si>
  <si>
    <t>Казанский государственный энергетический университет, ФГБОУ ВО</t>
  </si>
  <si>
    <t>ФГБОУ ВО "Казанский государственный энергетический университет"</t>
  </si>
  <si>
    <t>Казанский инновационный университет имени В.Г. Тимирясова (ИЭУП), ЧОУ ВО</t>
  </si>
  <si>
    <t>Казанский филиал АСМС</t>
  </si>
  <si>
    <t>Казанский энергетический колледж Государственное автономное профессиональное образовательное учреждение</t>
  </si>
  <si>
    <t>Государственное автономное профессиональное образовательное учреждение "Казанский энергетический колледж"</t>
  </si>
  <si>
    <t>Казань-Восток-Сервис ООО</t>
  </si>
  <si>
    <t>ООО "Казань-Восток-Сервис"</t>
  </si>
  <si>
    <t xml:space="preserve">КазИнМетр </t>
  </si>
  <si>
    <t>Республиканское государственное предприятие на праве хозяйственного ведения "Казахстанский институт метрологии(КазИнМетр)" Комитета технического регулирования и метрологии Министерства по инвестициям и развитию Республики Казахстан</t>
  </si>
  <si>
    <t>КазНИПИЭнергопром Институт АО</t>
  </si>
  <si>
    <t>АО "Институт "КазНИПИЭнергопром"</t>
  </si>
  <si>
    <t>КАЗСТРОЙМАШ, ООО</t>
  </si>
  <si>
    <t>ООО "КАЗСТРОЙМАШ"</t>
  </si>
  <si>
    <t>Калимуллин Марат Альбертович ИП</t>
  </si>
  <si>
    <t>ИП Калимуллин Марат Альбертович</t>
  </si>
  <si>
    <t>КАМА Группа Компаний, ООО</t>
  </si>
  <si>
    <t>ООО "Группа Компаний "КАМА"</t>
  </si>
  <si>
    <t>Кама Экспресс ООО</t>
  </si>
  <si>
    <t>ООО "Кама Экспресс"</t>
  </si>
  <si>
    <t>КАМАЗ-Энерго ООО</t>
  </si>
  <si>
    <t>ООО "КАМАЗ-Энерго"</t>
  </si>
  <si>
    <t>КАМВЕНТСНАБ ООО</t>
  </si>
  <si>
    <t>ООО "КАМВЕНТСНАБ"</t>
  </si>
  <si>
    <t>КамИнжиниринг ООО</t>
  </si>
  <si>
    <t>ООО "КамИнжиниринг"</t>
  </si>
  <si>
    <t>КамионАвто ТЛК, ООО</t>
  </si>
  <si>
    <t>ООО ТЛК "КамионАвто"</t>
  </si>
  <si>
    <t>Кампуз ООО</t>
  </si>
  <si>
    <t>ООО "Кампуз"</t>
  </si>
  <si>
    <t>КАМСКИЙ КРЕПЕЖ, ООО</t>
  </si>
  <si>
    <t>ООО "КАМСКИЙ КРЕПЕЖ"</t>
  </si>
  <si>
    <t>Камчатскэнерго ПАО</t>
  </si>
  <si>
    <t>ПАО "Камчатскэнерго"</t>
  </si>
  <si>
    <t>КамЭнергоРемонт ООО</t>
  </si>
  <si>
    <t>ООО "КамЭнергоРемонт"</t>
  </si>
  <si>
    <t>КАПИТАЛ-Л ООО</t>
  </si>
  <si>
    <t xml:space="preserve">ООО "КАПИТАЛ-Л" </t>
  </si>
  <si>
    <t>Капитал-Строй Диагностика ООО</t>
  </si>
  <si>
    <t>ООО "Капитал-Строй "Диагностика"</t>
  </si>
  <si>
    <t>Карагандинский турбомеханический завод ТОО</t>
  </si>
  <si>
    <t>Карагандинский турбомеханический завод ТОО Челябинский филиал</t>
  </si>
  <si>
    <t>Челябинский филиал ТОО "Карагандинский турбомеханический завод"</t>
  </si>
  <si>
    <t xml:space="preserve">Каргаполов Антон Владимирович ИП </t>
  </si>
  <si>
    <t>ИП Каргаполов Антон Владимирович</t>
  </si>
  <si>
    <t>Карионов Илья Сергеевич ИП</t>
  </si>
  <si>
    <t>Карно-Энерго ООО</t>
  </si>
  <si>
    <t>Картонтара ООО</t>
  </si>
  <si>
    <t>ООО "Картонтара"</t>
  </si>
  <si>
    <t>КАРТРАК, ООО</t>
  </si>
  <si>
    <t>ООО "КАРТРАК"</t>
  </si>
  <si>
    <t>Карьера ДПО АНО</t>
  </si>
  <si>
    <t>АНО ДПО "Карьера"</t>
  </si>
  <si>
    <t>Каскад-Электро ТД ООО</t>
  </si>
  <si>
    <t>ООО "ТД Каскад-Электро"</t>
  </si>
  <si>
    <t>Каталог КМ ООО</t>
  </si>
  <si>
    <t>ООО "КМ Каталог"</t>
  </si>
  <si>
    <t>КАШАЛОТ ТК ООО</t>
  </si>
  <si>
    <t>ООО ТК "КАШАЛОТ"</t>
  </si>
  <si>
    <t>КБК НП НЧ им. С.П.Титова ЗАО</t>
  </si>
  <si>
    <t>ЗАО "НП НЧ КБК им. С.П. Титова"</t>
  </si>
  <si>
    <t>Квадра ПАО</t>
  </si>
  <si>
    <t>ПАО "Квадра"</t>
  </si>
  <si>
    <t>Квадра ПАО Филиал Воронежская генерация</t>
  </si>
  <si>
    <t>Филиал ПАО "Квадра"- "Воронежская генерация"</t>
  </si>
  <si>
    <t>Квадра ПАО Филиал Центральная генерация</t>
  </si>
  <si>
    <t>Филиал ПАО "Квадра"- "Центральная генерация"</t>
  </si>
  <si>
    <t>Квантор-М ООО</t>
  </si>
  <si>
    <t>ООО "Квантор-М"</t>
  </si>
  <si>
    <t>Квартал ТД ООО</t>
  </si>
  <si>
    <t>ООО "ТД Квартал"</t>
  </si>
  <si>
    <t>КИНМАР ООО</t>
  </si>
  <si>
    <t>ООО "КИНМАР"</t>
  </si>
  <si>
    <t>КИП-Прибор ООО</t>
  </si>
  <si>
    <t>ООО "КИП-Прибор"</t>
  </si>
  <si>
    <t>КИП-Сервис ООО</t>
  </si>
  <si>
    <t>ООО "КИП-Сервис"</t>
  </si>
  <si>
    <t xml:space="preserve">КИП-Холдинг, ООО </t>
  </si>
  <si>
    <t>ООО "КИП-Холдинг"</t>
  </si>
  <si>
    <t>КИП-Электро НПФ ООО</t>
  </si>
  <si>
    <t>ООО "НПФ "КИП-Электро"</t>
  </si>
  <si>
    <t>КИПКомплект ГК ООО</t>
  </si>
  <si>
    <t>ООО "ГК "КИПКомплект"</t>
  </si>
  <si>
    <t>КИПКомплект, ООО</t>
  </si>
  <si>
    <t>ООО "КИПКомплект"</t>
  </si>
  <si>
    <t>Кирничная Людмила Александровна</t>
  </si>
  <si>
    <t>КИТ Транспортная компания, ООО</t>
  </si>
  <si>
    <t>ООО "КИТ.ТК"</t>
  </si>
  <si>
    <t>КИТ-СЕРВИС ООО</t>
  </si>
  <si>
    <t xml:space="preserve">ООО "КИТ"-СЕРВИС </t>
  </si>
  <si>
    <t xml:space="preserve">Клиник сити, ООО </t>
  </si>
  <si>
    <t>ООО "Клиник сити"</t>
  </si>
  <si>
    <t>Клинкманн СПб АО</t>
  </si>
  <si>
    <t>АО "Клинкманн СПб"</t>
  </si>
  <si>
    <t>КМ,ГК ООО</t>
  </si>
  <si>
    <t>ООО ГК "КМ"</t>
  </si>
  <si>
    <t>Кодекс ЦНТД, ООО</t>
  </si>
  <si>
    <t>ООО "ЦНТД "Кодекс"</t>
  </si>
  <si>
    <t>Кожевникова Нина Петровна</t>
  </si>
  <si>
    <t>КОЛАР-СПБ ООО</t>
  </si>
  <si>
    <t>ООО "КОЛАР-СПБ"</t>
  </si>
  <si>
    <t>Колледж нефтехимии и нефтепереработки имени Н.В. Лемаева ГАПОУ</t>
  </si>
  <si>
    <t>ГАПОУ "Колледж нефтехимии и нефтепереработки имени Н.В. Лемаева"</t>
  </si>
  <si>
    <t>Колтунцев Алексей Владимирович ИП</t>
  </si>
  <si>
    <t>Индивидуальный предприниматель Колтунцев Алексей Владимирович</t>
  </si>
  <si>
    <t>Компания Оргтехника и сервис ООО</t>
  </si>
  <si>
    <t>ООО "Компания Оргтехника и сервис"</t>
  </si>
  <si>
    <t>Компания ЭМС, ООО</t>
  </si>
  <si>
    <t>ООО "Компания ЭМС"</t>
  </si>
  <si>
    <t>Комплексные Системы НТЦ ООО</t>
  </si>
  <si>
    <t xml:space="preserve"> ООО "НТЦ "Комплексные Системы"</t>
  </si>
  <si>
    <t>КОМПЛЕКТАЦИЯ ПРИБОРАМИ, ООО</t>
  </si>
  <si>
    <t>ООО "КОМПЛЕКТАЦИЯ ПРИБОРАМИ"</t>
  </si>
  <si>
    <t>КомплектПоставка, ООО</t>
  </si>
  <si>
    <t>Комплектэнергоучет АО</t>
  </si>
  <si>
    <t>АО "Комплектэнергоучет"</t>
  </si>
  <si>
    <t>Компонент АО</t>
  </si>
  <si>
    <t>АО "Компонент"</t>
  </si>
  <si>
    <t>КОМПЬЮЛАН ООО</t>
  </si>
  <si>
    <t>ООО "КОМПЬЮЛАН"</t>
  </si>
  <si>
    <t>КОМПЬЮТЕР КОММЕРС ООО</t>
  </si>
  <si>
    <t>ООО "КОМПЬЮТЕР КОММЕРС"</t>
  </si>
  <si>
    <t>Комтек-Энергосервис ООО</t>
  </si>
  <si>
    <t>ООО "Комтек-Энергосервис"</t>
  </si>
  <si>
    <t>Комус ООО</t>
  </si>
  <si>
    <t>ООО "Комус"</t>
  </si>
  <si>
    <t>Комус-Приволжье ООО</t>
  </si>
  <si>
    <t>ООО "Комус-Приволжье"</t>
  </si>
  <si>
    <t>Конквест, ТЛК ООО</t>
  </si>
  <si>
    <t>ООО ТЛК "Конквест"</t>
  </si>
  <si>
    <t>Кононова Олеся Олеговна ИП</t>
  </si>
  <si>
    <t xml:space="preserve">ИП Кононова Олеся Олеговна </t>
  </si>
  <si>
    <t>КОНТАКТ-1, ООО</t>
  </si>
  <si>
    <t>ООО предприятие "КОНТАКТ-1"</t>
  </si>
  <si>
    <t>КонтрАвт НПФ ООО</t>
  </si>
  <si>
    <t>ООО НПФ "КонтрАвт"</t>
  </si>
  <si>
    <t>Контракт Мотор, ООО</t>
  </si>
  <si>
    <t>ООО "Контракт Мотор"</t>
  </si>
  <si>
    <t>Контур СКБ ПФ АО</t>
  </si>
  <si>
    <t>АО "ПФ "СКБ Контур"</t>
  </si>
  <si>
    <t>Корнишин Иван Анатольевич Индивидуальный предприниматель</t>
  </si>
  <si>
    <t xml:space="preserve">Индивидуальный предприниматель Корнишин Иван Анатольевич </t>
  </si>
  <si>
    <t>Кочетова Оксана Геннадьевна Индивидуальный предприниматель</t>
  </si>
  <si>
    <t xml:space="preserve">Индивидуальный предприниматель Кочетова Оксана Геннадьевна </t>
  </si>
  <si>
    <t>КрасПромИнвест ТД, ООО</t>
  </si>
  <si>
    <t>ООО ТД "КрасПромИнвест"</t>
  </si>
  <si>
    <t>КРАСЭЛКОМ ООО</t>
  </si>
  <si>
    <t>ООО "КРАСЭЛКОМ"</t>
  </si>
  <si>
    <t>КРЕЙТ ООО</t>
  </si>
  <si>
    <t>ООО "КРЕЙТ"</t>
  </si>
  <si>
    <t>Кречетов Георгий Евгеньевич ИП</t>
  </si>
  <si>
    <t>ИП Кречетов Георгий Евгеньевич</t>
  </si>
  <si>
    <t>КРИОС НПП ООО</t>
  </si>
  <si>
    <t>ООО "НПП "Криос"</t>
  </si>
  <si>
    <t>КРОНЕ Инжиниринг, ООО</t>
  </si>
  <si>
    <t>ООО "КРОНЕ Инжиниринг"</t>
  </si>
  <si>
    <t>КРУГ НПФ ООО</t>
  </si>
  <si>
    <t>ООО НПФ "КРУГ"</t>
  </si>
  <si>
    <t>КТС-ГРУПП, ООО</t>
  </si>
  <si>
    <t>ООО "КТС-ГРУПП"</t>
  </si>
  <si>
    <t>КТЭ, ООО</t>
  </si>
  <si>
    <t>ООО "КТЭ"</t>
  </si>
  <si>
    <t>Кубань Кредит КБ ООО</t>
  </si>
  <si>
    <t xml:space="preserve">КБ "Кубань Кредит" ООО </t>
  </si>
  <si>
    <t>Кубанькар ООО</t>
  </si>
  <si>
    <t>ООО "Кубанькар"</t>
  </si>
  <si>
    <t>Кудрявцев Олег Владимирович ИП</t>
  </si>
  <si>
    <t>ИП Кудрявцев Олег Владимирович</t>
  </si>
  <si>
    <t>Кулер Бэст, ООО</t>
  </si>
  <si>
    <t>Куликов Илья Юрьевич ИП</t>
  </si>
  <si>
    <t xml:space="preserve">ИП Куликов Илья Юрьевич </t>
  </si>
  <si>
    <t>Курорт ООО</t>
  </si>
  <si>
    <t>ООО "Курорт"</t>
  </si>
  <si>
    <t>Курьер-Регион ООО</t>
  </si>
  <si>
    <t>ООО "Курьер-Регион"</t>
  </si>
  <si>
    <t xml:space="preserve">КФУ ФГАОУ ВО </t>
  </si>
  <si>
    <t>Федеральное государственное автономное образовательное учреждение высшего образования "Казанский (Приволжский) федеральный университет"</t>
  </si>
  <si>
    <t>КЭР-Автоматика ООО</t>
  </si>
  <si>
    <t>КЭР-Инжиниринг ООО</t>
  </si>
  <si>
    <t>ООО "Комплексное ЭнергоРазвитие-Инжиниринг"</t>
  </si>
  <si>
    <t>КЭР-Инжиниринг ТОО</t>
  </si>
  <si>
    <t xml:space="preserve">ТОО "КЭР-Инжиниринг" </t>
  </si>
  <si>
    <t>КЭС ГРУПП, ООО</t>
  </si>
  <si>
    <t>ООО "КЭС ГРУПП"</t>
  </si>
  <si>
    <t>ЛАЗЕРГРАВ ПКФ ООО</t>
  </si>
  <si>
    <t>ОБЩЕСТВО С ОГРАНИЧЕННОЙ ОТВЕТСТВЕННОСТЬЮ ПРОИЗВОДСТВЕННО-КОММЕРЧЕСКАЯ ФИРМА "ЛАЗЕРГРАВ"</t>
  </si>
  <si>
    <t>Легион ООО</t>
  </si>
  <si>
    <t>ООО "Легион"</t>
  </si>
  <si>
    <t>ЛЕНПРОМЭКСПЕРТИЗА, ООО</t>
  </si>
  <si>
    <t>ООО "ЛЕНПРОМЭКСПЕРТИЗА"</t>
  </si>
  <si>
    <t>Леруа Мерлен Восток ООО (Казань)</t>
  </si>
  <si>
    <t>ООО "Леруа Мерлен Восток"</t>
  </si>
  <si>
    <t>Леруа Мерлен Восток ООО (Наб. Челны)</t>
  </si>
  <si>
    <t>ЛигаТрансСервис ТСК, ООО</t>
  </si>
  <si>
    <t>ООО ТСК "ЛигаТрансСервис"</t>
  </si>
  <si>
    <t>ЛИМАКО АО</t>
  </si>
  <si>
    <t xml:space="preserve">АО "ЛИМАКО" </t>
  </si>
  <si>
    <t>Линт ООО</t>
  </si>
  <si>
    <t>ООО "Линт"</t>
  </si>
  <si>
    <t>Линт-Сервис ООО</t>
  </si>
  <si>
    <t>ООО "Линт-Сервис"</t>
  </si>
  <si>
    <t>Липницкая Диана Леонардовна ИП</t>
  </si>
  <si>
    <t>ИП Липницкая Диана Леонардовна</t>
  </si>
  <si>
    <t>ЛИСТ ООО</t>
  </si>
  <si>
    <t>ООО "ЛИСТ"</t>
  </si>
  <si>
    <t>Лифты Казани ООО</t>
  </si>
  <si>
    <t>Общество с ограниченной ответственностью "Лифты Казани"</t>
  </si>
  <si>
    <t>Локальные Системы НН, ООО</t>
  </si>
  <si>
    <t>ООО "Локальные Системы НН"</t>
  </si>
  <si>
    <t>Лунда ООО</t>
  </si>
  <si>
    <t>ООО "Лунда"</t>
  </si>
  <si>
    <t>МАЕЛ Групп ООО</t>
  </si>
  <si>
    <t>ООО "МАЕЛ Групп"</t>
  </si>
  <si>
    <t>Макс Мемори ООО</t>
  </si>
  <si>
    <t>ООО "Макс Мемори"</t>
  </si>
  <si>
    <t>МАКС21 ООО</t>
  </si>
  <si>
    <t xml:space="preserve">ООО "МАКС21" </t>
  </si>
  <si>
    <t>Манометр Завод ООО</t>
  </si>
  <si>
    <t>ООО "Завод "Манометр"</t>
  </si>
  <si>
    <t>Манотомь, ОАО</t>
  </si>
  <si>
    <t>ОАО "Манотомь"</t>
  </si>
  <si>
    <t>МастерКом ООО</t>
  </si>
  <si>
    <t>ООО "МастерКом"</t>
  </si>
  <si>
    <t>Мвидео Менеджмент ООО</t>
  </si>
  <si>
    <t>ООО "М.видео Менеджмент"</t>
  </si>
  <si>
    <t>МЕАНДР ТД ООО</t>
  </si>
  <si>
    <t>ООО "Торговый дом "МЕАНДР"</t>
  </si>
  <si>
    <t>Мебель Трон ООО</t>
  </si>
  <si>
    <t>Мега-Фикс Трейд, ООО</t>
  </si>
  <si>
    <t>ООО "Мега-Фикс Трейд"</t>
  </si>
  <si>
    <t>Медведев Николай Петрович, ИП</t>
  </si>
  <si>
    <t>ИП Медведев Николай Петрович</t>
  </si>
  <si>
    <t>Медгард-Набережные Челны, ООО</t>
  </si>
  <si>
    <t>ООО "Медгард-Набережные Челны"</t>
  </si>
  <si>
    <t>Медиа Мир-Поволжье, ООО</t>
  </si>
  <si>
    <t>ООО "Медиа Мир-Поволжье"</t>
  </si>
  <si>
    <t>МЕДИУС ОАО</t>
  </si>
  <si>
    <t>ОАО "МЕДИУС"</t>
  </si>
  <si>
    <t>Медицина будущего Ассоциация клиник ООО</t>
  </si>
  <si>
    <t xml:space="preserve">ООО Ассоциация клиник "Медицина будущего" </t>
  </si>
  <si>
    <t>Медтехника, ООО</t>
  </si>
  <si>
    <t>ООО "Медтехника"</t>
  </si>
  <si>
    <t>Межрегиональное операционное УФК (Федеральная служба по интеллектуальной собственности)</t>
  </si>
  <si>
    <t>Межрегиональное операционное УФК (Федеральное агентство по техническому регулированию и метрологии)</t>
  </si>
  <si>
    <t>МЕРИДИАН, ООО</t>
  </si>
  <si>
    <t>ООО "МЕРИДИАН"</t>
  </si>
  <si>
    <t>Металлокомплекс Интеграл-С, ООО</t>
  </si>
  <si>
    <t>ООО "Металлокомплекс Интеграл-С"</t>
  </si>
  <si>
    <t>Метран Промышленная группа АО</t>
  </si>
  <si>
    <t xml:space="preserve">АО "Промышленная группа "Метран" </t>
  </si>
  <si>
    <t>МЕТРО КЭШ ЭНД КЕРРИ ООО</t>
  </si>
  <si>
    <t>ООО "МЕТРО КЭШ ЭНД КЕРРИ"</t>
  </si>
  <si>
    <t>Меттлер-Толедо Восток АО</t>
  </si>
  <si>
    <t>АО "Меттлер-Толедо Восток"</t>
  </si>
  <si>
    <t>Механизм Компания, ООО</t>
  </si>
  <si>
    <t>ООО " Компания Механизм"</t>
  </si>
  <si>
    <t>Механотроника НТЦ ООО</t>
  </si>
  <si>
    <t>ООО " НТЦ "Механотроника"</t>
  </si>
  <si>
    <t>МИГ Электро ООО</t>
  </si>
  <si>
    <t>ООО "МИГ Электро"</t>
  </si>
  <si>
    <t>Микроэлектронные нормализаторы и системы ЗАО</t>
  </si>
  <si>
    <t xml:space="preserve">ЗАО "Микроэлектронные нормализаторы и системы" </t>
  </si>
  <si>
    <t>Милешин Евгений Александрович</t>
  </si>
  <si>
    <t>Минзарипов Радик Вазыхович ИП</t>
  </si>
  <si>
    <t xml:space="preserve">Индивидуальный Предприниматель Минзарипов Радик Вазыхович </t>
  </si>
  <si>
    <t xml:space="preserve">Миннахметов Наиль Азгарович ИП </t>
  </si>
  <si>
    <t xml:space="preserve">ИП Миннахметов Наиль Азгарович </t>
  </si>
  <si>
    <t>МИРАЖ, ООО</t>
  </si>
  <si>
    <t>ООО "МИРАЖ"</t>
  </si>
  <si>
    <t>Мирроу Бизнес ООО</t>
  </si>
  <si>
    <t>ООО "Мирроу Бизнес"</t>
  </si>
  <si>
    <t>Михайлов Алексей Львович, ИП</t>
  </si>
  <si>
    <t>ИП Михайлов Алексей Львович</t>
  </si>
  <si>
    <t>МОНТАЖАВТОМАТИКА ООО</t>
  </si>
  <si>
    <t>ООО "МОНТАЖАВТОМАТИКА"</t>
  </si>
  <si>
    <t>Мотортроникс ООО</t>
  </si>
  <si>
    <t>ООО "Мотортроникс"</t>
  </si>
  <si>
    <t>МОТРУМ, ООО</t>
  </si>
  <si>
    <t>ООО "МОТРУМ"</t>
  </si>
  <si>
    <t>Мотыгуллин Айдар Рашитович Индивидуальный предприниматель</t>
  </si>
  <si>
    <t xml:space="preserve">Индивидуальный предприниматель Мотыгуллин Айдар Рашитович </t>
  </si>
  <si>
    <t>Мохнаткин Михаил Петрович</t>
  </si>
  <si>
    <t>МПК, ООО</t>
  </si>
  <si>
    <t>ООО "МПК"</t>
  </si>
  <si>
    <t>МПС Софт ООО</t>
  </si>
  <si>
    <t>ООО "Мастер продакшн Софт энд Системз"</t>
  </si>
  <si>
    <t>МС Технологии ООО</t>
  </si>
  <si>
    <t>ООО "МС Технологии"</t>
  </si>
  <si>
    <t>МТС Мобильные ТелеСистемы ПАО</t>
  </si>
  <si>
    <t>ПАО "МТС"</t>
  </si>
  <si>
    <t>Муллина Гузель Роальдовна ИП</t>
  </si>
  <si>
    <t>Индивидуальный предприниматель Муллина Гузель Роальдовна</t>
  </si>
  <si>
    <t>Мунайузеньсервис КАН ТОО</t>
  </si>
  <si>
    <t>ТОО "Мунайузеньсервис КАН"</t>
  </si>
  <si>
    <t>Муратков Сергей Степанович ИП</t>
  </si>
  <si>
    <t xml:space="preserve">ИП Муратков Сергей Степанович </t>
  </si>
  <si>
    <t>Мухутдинов Айдар Мухаметович Индивидуальный предприниматель</t>
  </si>
  <si>
    <t xml:space="preserve">Индивидуальный предприниматель Мухутдинов Айдар Мухаметович </t>
  </si>
  <si>
    <t>МХ 1 ООО</t>
  </si>
  <si>
    <t xml:space="preserve">ООО "МХ 1" </t>
  </si>
  <si>
    <t>МЦБК АО</t>
  </si>
  <si>
    <t>АО "МЦБК"</t>
  </si>
  <si>
    <t>Мыкало Олег Николаевич</t>
  </si>
  <si>
    <t>Набережночелнинская типография ООО</t>
  </si>
  <si>
    <t>ООО "Набережночелнинская типография"</t>
  </si>
  <si>
    <t>Нагаев Алексей Иванович ИП</t>
  </si>
  <si>
    <t>Индивидуальный предприниматель Нагаев Алексей Иванович</t>
  </si>
  <si>
    <t>Надежность АП ООО</t>
  </si>
  <si>
    <t>ООО АП "Надёжность"</t>
  </si>
  <si>
    <t>НАКС-Казань, ООО</t>
  </si>
  <si>
    <t>ООО "НАКС-Казань"</t>
  </si>
  <si>
    <t>Наркологический диспансер республиканский (ГАУЗ "РНД МЗ РТ")</t>
  </si>
  <si>
    <t>Государственное автономное учреждение здравоохранения "Республиканский наркологический диспансер Министерства здравоохранения Республики Татарстан" (ГАУЗ "РНД МЗ РТ")</t>
  </si>
  <si>
    <t>НАСКО АО</t>
  </si>
  <si>
    <t>АО "НАСКО"</t>
  </si>
  <si>
    <t>Наяда-РТ ООО</t>
  </si>
  <si>
    <t>ООО "Наяда-РТ"</t>
  </si>
  <si>
    <t>НЕКСТ инжиниринг ООО</t>
  </si>
  <si>
    <t>ООО "НЕКСТ инжиниринг"</t>
  </si>
  <si>
    <t>НЕМЕЦКИЕ ИНСТРУМЕНТЫ ООО</t>
  </si>
  <si>
    <t>ООО "НЕМЕЦКИЕ ИНСТРУМЕНТЫ"</t>
  </si>
  <si>
    <t>Нерюнгри-Металлик ООО</t>
  </si>
  <si>
    <t>ООО "Нерюнгри-Металлик"</t>
  </si>
  <si>
    <t>Нефтегаз Автоматика ООО</t>
  </si>
  <si>
    <t>ООО "Нефтегаз Автоматика"</t>
  </si>
  <si>
    <t>НефтеХимЭнергоСтрой ООО</t>
  </si>
  <si>
    <t>ООО "НефтеХимЭнергоСтрой"</t>
  </si>
  <si>
    <t>Ниеншанц-Автоматика ООО</t>
  </si>
  <si>
    <t>ООО "Ниеншанц-Автоматика"</t>
  </si>
  <si>
    <t>Нижнекамская ТЭЦ (ПТК-1) филиал АО "ТГК-16"</t>
  </si>
  <si>
    <t>Филиал АО "ТГК-16" - "Нижнекамская ТЭЦ (ПТК-1)"</t>
  </si>
  <si>
    <t>Нижнекамская ТЭЦ ООО</t>
  </si>
  <si>
    <t>ООО "Нижнекамская ТЭЦ"</t>
  </si>
  <si>
    <t>Нижнекамский Татагропромпроект АО</t>
  </si>
  <si>
    <t>Акционерное общество "Нижнекамский Татагропромпроект"</t>
  </si>
  <si>
    <t>Нижнекамскнефтехим ПАО</t>
  </si>
  <si>
    <t>ПАО "Нижнекамскнефтехим"</t>
  </si>
  <si>
    <t>НИКО ООО</t>
  </si>
  <si>
    <t>ООО "НИКО"</t>
  </si>
  <si>
    <t>Николаев Никита Алексеевич ИП</t>
  </si>
  <si>
    <t>ИП Николаев Никита Алексеевич</t>
  </si>
  <si>
    <t>ННПО имени М.В.Фрунзе АО</t>
  </si>
  <si>
    <t>АО "ННПО имени М.В.Фрунзе"</t>
  </si>
  <si>
    <t>НОВИНКА РЕСТОРАН ООО</t>
  </si>
  <si>
    <t xml:space="preserve">ООО "РЕСТОРАН "НОВИНКА"  </t>
  </si>
  <si>
    <t>Новые технологии ООО</t>
  </si>
  <si>
    <t>ООО "Новые технологии"</t>
  </si>
  <si>
    <t>Норви, ООО</t>
  </si>
  <si>
    <t>ООО "Норви"</t>
  </si>
  <si>
    <t>Нордини ООО</t>
  </si>
  <si>
    <t>ООО "Нордини"</t>
  </si>
  <si>
    <t>Норильсктрансгаз АО</t>
  </si>
  <si>
    <t>АО "Норильсктрансгаз"</t>
  </si>
  <si>
    <t>НПЦ Элемент  ООО</t>
  </si>
  <si>
    <t>ООО "НПЦ "Элемент"</t>
  </si>
  <si>
    <t>НТЦ СГЭП ООО</t>
  </si>
  <si>
    <t>ООО "НТЦ СГЭП"</t>
  </si>
  <si>
    <t>Ньютон ЭМЗ ООО</t>
  </si>
  <si>
    <t>ООО "Экспериментальный механический завод "Ньютон"</t>
  </si>
  <si>
    <t>НЭМЗ ООО</t>
  </si>
  <si>
    <t>ООО "Новочебоксарский электромеханический завод"</t>
  </si>
  <si>
    <t>ОБЕРОН ООО</t>
  </si>
  <si>
    <t>ООО "ОБЕРОН"</t>
  </si>
  <si>
    <t>Обеспечение РФЯЦ-ВНИИЭФ АО</t>
  </si>
  <si>
    <t>АО "Обеспечение РФЯЦ-ВНИИЭФ"</t>
  </si>
  <si>
    <t>Общемаш, ООО</t>
  </si>
  <si>
    <t>ООО "Общемаш"</t>
  </si>
  <si>
    <t>ОКТАВА ДМ, ООО</t>
  </si>
  <si>
    <t>ООО "ОКТАВА ДМ"</t>
  </si>
  <si>
    <t>Олимп ТД ООО</t>
  </si>
  <si>
    <t>ООО Торговый дом "Олимп"</t>
  </si>
  <si>
    <t>Онлайн ООО</t>
  </si>
  <si>
    <t>ООО "Онлайн"</t>
  </si>
  <si>
    <t>ОнЛайн Трейд ООО</t>
  </si>
  <si>
    <t>ООО "ОнЛайн Трейд"</t>
  </si>
  <si>
    <t>ОНЭЛЕК, ООО</t>
  </si>
  <si>
    <t>ООО "ОНЭЛЕК"</t>
  </si>
  <si>
    <t>Оптик Ком ТД ООО</t>
  </si>
  <si>
    <t>ООО ТД "Оптик Ком"</t>
  </si>
  <si>
    <t>ОПТИК КОМ ТК ООО</t>
  </si>
  <si>
    <t>ООО ТК "ОПТИК КОМ"</t>
  </si>
  <si>
    <t>Органный зал МАУК</t>
  </si>
  <si>
    <t>МАУК "Органный зал"</t>
  </si>
  <si>
    <t>ОРГХИМ инжиниринг ООО</t>
  </si>
  <si>
    <t>ООО "ОРГХИМ инжиниринг"</t>
  </si>
  <si>
    <t>Орион ООО</t>
  </si>
  <si>
    <t>ООО "Орион"</t>
  </si>
  <si>
    <t>Орион-сб ТД ООО</t>
  </si>
  <si>
    <t>ООО "ТД "ОРИОН-СБ"</t>
  </si>
  <si>
    <t>Орлова Татьяна Николаевна, ИП</t>
  </si>
  <si>
    <t>ИП Орлова Татьяна Николаевна</t>
  </si>
  <si>
    <t>ОРТЭС ООО</t>
  </si>
  <si>
    <t>ООО "ОРТЭС"</t>
  </si>
  <si>
    <t>Осянин Владислав Игоревич Индивидуальный предприниматель</t>
  </si>
  <si>
    <t>Отдел №26 УФК по РТ (Мамадышский РОСП УФССП по РТ)</t>
  </si>
  <si>
    <t>Отделение по г.Набережные Челны УФК по РТ (ОСП №3 по г. Набережные Челны УФССП по РТ) л/с 05111А53750</t>
  </si>
  <si>
    <t>Отделение по г.Набережные Челны УФК по РТ (ОСП №3 по г. Набережные Челны УФССП по РТ)</t>
  </si>
  <si>
    <t>Отделение по Пестречинскому району УФК по РТ ОФК 34 (Пестречинский РОСП УФССП по РТ) л/счет 05111833500</t>
  </si>
  <si>
    <t>ОТЕЛЬ ВИНОГРАДОВО АО</t>
  </si>
  <si>
    <t>АО "ОТЕЛЬ ВИНОГРАДОВО"</t>
  </si>
  <si>
    <t>Открытие ФК, БАНК ПАО</t>
  </si>
  <si>
    <t>ПАО БАНК "ФК ОТКРЫТИЕ"</t>
  </si>
  <si>
    <t>ОТС АО</t>
  </si>
  <si>
    <t>АО "ОТС"</t>
  </si>
  <si>
    <t>Охрана ФГУП ЦООП Росгвардии</t>
  </si>
  <si>
    <t>Центр охраны объектов промышленности (филиал) ФГУП "Охрана" Росгвардии</t>
  </si>
  <si>
    <t>Партнер НП НЧГ УДЦ</t>
  </si>
  <si>
    <t>НП НЧГ УДЦ "Партнер"</t>
  </si>
  <si>
    <t>Партнер ООО</t>
  </si>
  <si>
    <t>ООО "Партнер"</t>
  </si>
  <si>
    <t>Партнеры Красноярск ООО</t>
  </si>
  <si>
    <t>ООО "Партнеры Красноярск"</t>
  </si>
  <si>
    <t>ПАРТС2Б, ООО</t>
  </si>
  <si>
    <t>ООО "ПАРТС2Б"</t>
  </si>
  <si>
    <t>ПермКоммерц Групп ООО</t>
  </si>
  <si>
    <t>ООО "ПермКоммерц Групп"</t>
  </si>
  <si>
    <t>Петровский лес ООО</t>
  </si>
  <si>
    <t>ООО "Петровский лес"</t>
  </si>
  <si>
    <t>ПИНАМ Групп ТОО</t>
  </si>
  <si>
    <t>Товарищество с ограниченной ответственностью "ПИНАМ Групп"</t>
  </si>
  <si>
    <t>ПИНАМ, ООО</t>
  </si>
  <si>
    <t>ООО "ПИНАМ"</t>
  </si>
  <si>
    <t>ПИП ООО</t>
  </si>
  <si>
    <t>ООО "Промышленный инжиниринг- Поволжье"</t>
  </si>
  <si>
    <t xml:space="preserve">ПНД "Набережно-Челнинский психоневрологический диспансер" фил-л ГАУЗ "Республиканская клиническая психиатрическая больница им.акад.В.М.Бехтерева </t>
  </si>
  <si>
    <t>Министерство финансов РТ (ГАУЗ "РКПБ им. акад. В.М. Бехтерева"), л/с ЛАВ00704014-РКПББехт)</t>
  </si>
  <si>
    <t>ПНЕВМО, ООО</t>
  </si>
  <si>
    <t>ООО "ПНЕВМО"</t>
  </si>
  <si>
    <t>ПНЕВМОКОНТ ООО</t>
  </si>
  <si>
    <t>ООО "ПНЕВМОКОНТ"</t>
  </si>
  <si>
    <t>Пневмотех Инжиниринг ООО</t>
  </si>
  <si>
    <t>ООО "Пневмотех Инжиниринг"</t>
  </si>
  <si>
    <t>Пневмотех, ООО</t>
  </si>
  <si>
    <t>ООО "Пневмотех"</t>
  </si>
  <si>
    <t>ПневмоЭлектроСервис ООО</t>
  </si>
  <si>
    <t>ООО "ПневмоЭлектроСервис"</t>
  </si>
  <si>
    <t>ПНП СИГНУР, ООО</t>
  </si>
  <si>
    <t>ООО "ПНП СИГНУР"</t>
  </si>
  <si>
    <t>Поволжская экологическая компания ООО</t>
  </si>
  <si>
    <t>ООО "Поволжская экологическая компания"</t>
  </si>
  <si>
    <t>Поволжская электротехническая компания, ООО</t>
  </si>
  <si>
    <t>ООО "Поволжская электротехническая компания"</t>
  </si>
  <si>
    <t xml:space="preserve">Погодин Дмитрий Дмитриевич </t>
  </si>
  <si>
    <t>Подлеснова Александра Алексеевна</t>
  </si>
  <si>
    <t>ПОИСК, ООО</t>
  </si>
  <si>
    <t>ООО "ПОИСК"</t>
  </si>
  <si>
    <t>Полтраф СНГ ООО</t>
  </si>
  <si>
    <t>ООО "Полтраф СНГ"</t>
  </si>
  <si>
    <t>Полюс Алдан АО</t>
  </si>
  <si>
    <t>АО "Полюс Алдан"</t>
  </si>
  <si>
    <t>Полюс Магадан АО</t>
  </si>
  <si>
    <t>Акционерное общество "Полюс Магадан"</t>
  </si>
  <si>
    <t>Попутная загрузка ТК, ООО</t>
  </si>
  <si>
    <t>ООО ТК "Попутная загрузка"</t>
  </si>
  <si>
    <t>Порфиров Павел Николаевич</t>
  </si>
  <si>
    <t>ПОЧТА БАНК, АО</t>
  </si>
  <si>
    <t>АО "ПОЧТА БАНК"</t>
  </si>
  <si>
    <t>Почта России АО</t>
  </si>
  <si>
    <t>АО "Почта России"</t>
  </si>
  <si>
    <t>ППР ООО</t>
  </si>
  <si>
    <t xml:space="preserve">ООО "Передовые Платежные Решения" </t>
  </si>
  <si>
    <t>Прибор-ГАНК, ООО</t>
  </si>
  <si>
    <t>ООО "Прибор-ГАНК"</t>
  </si>
  <si>
    <t>ПРИБОР, ООО</t>
  </si>
  <si>
    <t>ООО "ПРИБОР"</t>
  </si>
  <si>
    <t xml:space="preserve">Приборы и Автоматика, ООО </t>
  </si>
  <si>
    <t>ООО "Приборы и Автоматика"</t>
  </si>
  <si>
    <t>Приборэнерго НТК, ООО</t>
  </si>
  <si>
    <t>ООО "НТК Приборэнерго"</t>
  </si>
  <si>
    <t>Приоритет-Электро, ООО</t>
  </si>
  <si>
    <t>ООО "Приоритет-Электро"</t>
  </si>
  <si>
    <t>Прогресс-Автоматика ПКЦ ООО</t>
  </si>
  <si>
    <t>ООО "ПКЦ "Прогресс-Автоматика"</t>
  </si>
  <si>
    <t>Прогрессивные Решения ООО</t>
  </si>
  <si>
    <t>ООО "Прогрессивные Решения"</t>
  </si>
  <si>
    <t>ПРОМА НПП ООО</t>
  </si>
  <si>
    <t>Общество с ограниченной ответственностью "НПП "ПРОМЫШЛЕННАЯ АВТОМАТИКА"</t>
  </si>
  <si>
    <t>ПРОМАВТОМАТИКА НПО, ООО</t>
  </si>
  <si>
    <t>ООО "НПО "ПРОМАВТОМАТИКА"</t>
  </si>
  <si>
    <t>ПРОМАВТОМАТИКА СКБ ООО</t>
  </si>
  <si>
    <t>ООО "СКБ"ПРОМАВТОМАТИКА"</t>
  </si>
  <si>
    <t>Промавтоматика, ООО</t>
  </si>
  <si>
    <t>ООО "Промавтоматика"</t>
  </si>
  <si>
    <t>Проманалитприбор, АО</t>
  </si>
  <si>
    <t>ООО "Проманалитприбор"</t>
  </si>
  <si>
    <t>ПРОМВЕНТ КОМПАНИЯ ООО</t>
  </si>
  <si>
    <t>ООО КОМПАНИЯ "ПРОМВЕНТ"</t>
  </si>
  <si>
    <t>Промприбор-Р ООО</t>
  </si>
  <si>
    <t>ООО "Промприбор-Р"</t>
  </si>
  <si>
    <t>ПРОМПРИБОР, ООО</t>
  </si>
  <si>
    <t>ООО "ПРОМПРИБОР"</t>
  </si>
  <si>
    <t>ПРОМСВЯЗЬБАНК  ПАО</t>
  </si>
  <si>
    <t>ПАО "ПРОМСВЯЗЬБАНК"</t>
  </si>
  <si>
    <t>ПРОМСПЕЦКОМПЛЕКТ ТД ООО</t>
  </si>
  <si>
    <t>ООО ТД "ПРОМСПЕЦКОМПЛЕКТ"</t>
  </si>
  <si>
    <t>Промтехобработка, НПП ООО</t>
  </si>
  <si>
    <t>ООО НПП "ПТО"</t>
  </si>
  <si>
    <t>Промэнерго Автоматика ООО</t>
  </si>
  <si>
    <t>ООО "Промэнерго Автоматика"</t>
  </si>
  <si>
    <t>Прософт-Системы ООО</t>
  </si>
  <si>
    <t>ООО "Прософт-Системы"</t>
  </si>
  <si>
    <t>Протон-Импульс ЗАО</t>
  </si>
  <si>
    <t>ЗАО "Протон-Импульс"</t>
  </si>
  <si>
    <t xml:space="preserve">Протон, АО </t>
  </si>
  <si>
    <t>АО "Протон"</t>
  </si>
  <si>
    <t>ПрофБизнесСтандарт ДПО АНО</t>
  </si>
  <si>
    <t>Автономная некоммерческая организация дополнительного профессионального образования "ПрофБизнесСтандарт"</t>
  </si>
  <si>
    <t>Профессиональное образование ЧОУ ДПО</t>
  </si>
  <si>
    <t>ЧОУ ДПО "Профессиональное образование"</t>
  </si>
  <si>
    <t>Профит ООО</t>
  </si>
  <si>
    <t>ООО "Профит"</t>
  </si>
  <si>
    <t>Психиатрическая больница им.акад. В.М. Бехтерева Министерства здравоохранения РТ"</t>
  </si>
  <si>
    <t>ГАУЗ "РКПБ им. акад. В. М. Бехтерева"</t>
  </si>
  <si>
    <t>ПТ ГРУПП ООО</t>
  </si>
  <si>
    <t>ООО "ПТ ГРУПП"</t>
  </si>
  <si>
    <t>Пульс ООО</t>
  </si>
  <si>
    <t>ООО "Пульс"</t>
  </si>
  <si>
    <t>ПЭИПК ФГАОУ ДПО</t>
  </si>
  <si>
    <t>Федеральное государственное автономное образовательное учреждение дополнительного профессионального образования "Петербургский энергетический институт повышения квалификации"</t>
  </si>
  <si>
    <t>ПЭК ООО</t>
  </si>
  <si>
    <t>ООО "ПЕРВАЯ ЭКСПЕДИЦИОННАЯ КОМПАНИЯ"</t>
  </si>
  <si>
    <t>Р-Сенсор,ООО</t>
  </si>
  <si>
    <t>ООО "Р-Сенсор"</t>
  </si>
  <si>
    <t>Радиоэлектроника НПО АО им. В.И.Шимко</t>
  </si>
  <si>
    <t>АО "НПО "Радиоэлектроника" им. В.И. Шимко</t>
  </si>
  <si>
    <t>РАДИУС  Автоматика АО</t>
  </si>
  <si>
    <t>АО "РАДИУС  Автоматика"</t>
  </si>
  <si>
    <t>РАДЭЛ ООО</t>
  </si>
  <si>
    <t>ООО "РАДЭЛ"</t>
  </si>
  <si>
    <t>РАЙФФАЙЗЕНБАНК АО ПОВОЛЖСКИЙ ФИЛИАЛ</t>
  </si>
  <si>
    <t>ПОВОЛЖСКИЙ ФИЛИАЛ АО "РАЙФФАЙЗЕНБАНК " Г.НИЖНИЙ НОВГОРОД</t>
  </si>
  <si>
    <t>Ракурс НПФ ООО</t>
  </si>
  <si>
    <t>ООО "НПФ "Ракурс"</t>
  </si>
  <si>
    <t>Ракурс-инжиниринг ООО</t>
  </si>
  <si>
    <t>ООО "Ракурс-инжиниринг"</t>
  </si>
  <si>
    <t>Рамазанов Руслан Рафаилевич ИП</t>
  </si>
  <si>
    <t>РАНЕТ ЭНЕРГО ООО</t>
  </si>
  <si>
    <t>ООО "РАНЕТ ЭНЕРГО"</t>
  </si>
  <si>
    <t>РАНХиГС</t>
  </si>
  <si>
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</si>
  <si>
    <t>РБМ, ООО</t>
  </si>
  <si>
    <t>ООО "РБМ"</t>
  </si>
  <si>
    <t>Реал ООО</t>
  </si>
  <si>
    <t>ООО "Реал"</t>
  </si>
  <si>
    <t>РЕАЛИСТ БАНК, АО</t>
  </si>
  <si>
    <t>Акционерное общество "Реалист Банк"</t>
  </si>
  <si>
    <t>РЕГИОН-ПРОФ ООО</t>
  </si>
  <si>
    <t>ООО "РЕГИОН-ПРОФ"</t>
  </si>
  <si>
    <t>РЕГИОНАЛЬНЫЙ УЧЕБНЫЙ ЦЕНТР, НЕГОСУДАРСТВЕННОЕ ОБРАЗОВАТЕЛЬНОЕ УЧРЕЖДЕНИЕ</t>
  </si>
  <si>
    <t>НЕГОСУДАРСТВЕННОЕ ОБРАЗОВАТЕЛЬНОЕ УЧРЕЖДЕНИЕ "РЕГИОНАЛЬНЫЙ УЧЕБНЫЙ ЦЕНТР"</t>
  </si>
  <si>
    <t>РегионСпецСтрой ООО</t>
  </si>
  <si>
    <t>ООО "РегионСпецСтрой"</t>
  </si>
  <si>
    <t>РегионЭнергоСтрой СК ООО</t>
  </si>
  <si>
    <t>ООО "РегионЭнергоСтрой"</t>
  </si>
  <si>
    <t>Регистратор доменных имён РЕГ.РУ ООО</t>
  </si>
  <si>
    <t xml:space="preserve">ООО "Регистратор доменных имён РЕГ.РУ" </t>
  </si>
  <si>
    <t>Режкабель ООО</t>
  </si>
  <si>
    <t>Общество с ограниченной ответственностью "Режевской кабельный завод"</t>
  </si>
  <si>
    <t>Реле и Автоматика ООО</t>
  </si>
  <si>
    <t>ООО "Реле и Автоматика"</t>
  </si>
  <si>
    <t>Ремарк ООО</t>
  </si>
  <si>
    <t>ООО "Ремарк"</t>
  </si>
  <si>
    <t>Ремик ООО</t>
  </si>
  <si>
    <t>Ремик-Сервис ООО</t>
  </si>
  <si>
    <t>ООО "Ремик-Сервис"</t>
  </si>
  <si>
    <t>Ремитек, ООО</t>
  </si>
  <si>
    <t>ООО "Ремитек"</t>
  </si>
  <si>
    <t>Ремонтно-Строительная компания ООО</t>
  </si>
  <si>
    <t>ООО "Ремонтно-Строительная компания"</t>
  </si>
  <si>
    <t>РЕМСПЕЦЭНЕРГО ООО</t>
  </si>
  <si>
    <t>ООО "РЕМСПЕЦЭНЕРГО"</t>
  </si>
  <si>
    <t>РЕМСТРОЙКАМ ООО</t>
  </si>
  <si>
    <t>ООО "РЕМСТРОЙКАМ"</t>
  </si>
  <si>
    <t>Ренн ООО</t>
  </si>
  <si>
    <t>ООО "Ренн"</t>
  </si>
  <si>
    <t>РЕНН-К ООО</t>
  </si>
  <si>
    <t>ООО "РЕНН-К"</t>
  </si>
  <si>
    <t>РЕСО-Гарантия САО</t>
  </si>
  <si>
    <t>САО "РЕСО-Гарантия"</t>
  </si>
  <si>
    <t>Ресторан Татарстан ООО</t>
  </si>
  <si>
    <t>ООО "Ресторан Татарстан"</t>
  </si>
  <si>
    <t>Ресурс Поставка ООО</t>
  </si>
  <si>
    <t>ООО "Ресурс Поставка"</t>
  </si>
  <si>
    <t>Ресурсный центр - Алабуга ООО</t>
  </si>
  <si>
    <t>ООО "Ресурсный центр - Алабуга"</t>
  </si>
  <si>
    <t>РЖД ОАО</t>
  </si>
  <si>
    <t>Открытое акционерное общество "Российские железные дороги"</t>
  </si>
  <si>
    <t>РИД мет ООО</t>
  </si>
  <si>
    <t>ООО "РИД мет"</t>
  </si>
  <si>
    <t>РИЗУР НПО, ООО</t>
  </si>
  <si>
    <t>ООО "НПО РИЗУР"</t>
  </si>
  <si>
    <t>РиМ Компания, ООО</t>
  </si>
  <si>
    <t>ООО "Компания "РиМ"</t>
  </si>
  <si>
    <t>РИР АО</t>
  </si>
  <si>
    <t>Акционерное общество "Русатом Инфраструктурные решения"</t>
  </si>
  <si>
    <t>РИР АО Филиал в г.Глазове</t>
  </si>
  <si>
    <t>Филиал АО "РИР" в г. Глазове</t>
  </si>
  <si>
    <t>Риттал ООО</t>
  </si>
  <si>
    <t>ООО "Риттал"</t>
  </si>
  <si>
    <t>Рожков Юрий Алексеевич ИП</t>
  </si>
  <si>
    <t xml:space="preserve">ИП Рожков Юрий Алексеевич </t>
  </si>
  <si>
    <t>РОСБАНК ПАО ПРИВОЛЖСКИЙ ФИЛИАЛ</t>
  </si>
  <si>
    <t xml:space="preserve">ПРИВОЛЖСКИЙ ФИЛИАЛ ПАО РОСБАНК </t>
  </si>
  <si>
    <t>РОСМА ЗАО</t>
  </si>
  <si>
    <t>ЗАО "РОСМА"</t>
  </si>
  <si>
    <t>РОСПАН ИНТЕРНЕШНЛ АО</t>
  </si>
  <si>
    <t>АО "РОСПАН ИНТЕРНЕШНЛ"</t>
  </si>
  <si>
    <t>РОСС ИНТЕК ООО</t>
  </si>
  <si>
    <t>ООО "РОСС ИНТЕК"</t>
  </si>
  <si>
    <t>Российский аукционный дом, АО</t>
  </si>
  <si>
    <t>АО "Российский аукционный дом"</t>
  </si>
  <si>
    <t>РОСЭК ООО</t>
  </si>
  <si>
    <t>ООО "РОСЭК"</t>
  </si>
  <si>
    <t>РОТЕК АО</t>
  </si>
  <si>
    <t>Акционерное общество  "РОТЕК"</t>
  </si>
  <si>
    <t>РР-Мастерс ООО</t>
  </si>
  <si>
    <t>ООО "РР-Мастерс"</t>
  </si>
  <si>
    <t>РСТ-ЭНЕРГО. ООО</t>
  </si>
  <si>
    <t>ООО "РСТ-ЭНЕРГО"</t>
  </si>
  <si>
    <t>РТЛ-Восток, ООО</t>
  </si>
  <si>
    <t>ООО "РТЛ-Восток"</t>
  </si>
  <si>
    <t>РТС ООО</t>
  </si>
  <si>
    <t>ООО "РТС"</t>
  </si>
  <si>
    <t>РТС-тендер ООО</t>
  </si>
  <si>
    <t>ООО "РТС-тендер"</t>
  </si>
  <si>
    <t>Румбешт В.М. ИП</t>
  </si>
  <si>
    <t>ИП Румбешт Вадим Михайлович</t>
  </si>
  <si>
    <t>РУСАВТОМАТИКА ООО</t>
  </si>
  <si>
    <t>ООО "РУСАВТОМАТИКА"</t>
  </si>
  <si>
    <t>РУСАЛ Уральский Алюминий Объединенная компания АО</t>
  </si>
  <si>
    <t>АО "Объединенная компания  РУСАЛ Уральский Алюминий"</t>
  </si>
  <si>
    <t>РУСАЛ ФИЛИАЛ Уральский Алюминий Объединенная компания АО</t>
  </si>
  <si>
    <t>Филиал АО "Объединенная компания  РУСАЛ Уральский Алюминий"</t>
  </si>
  <si>
    <t>РусАнтех ООО</t>
  </si>
  <si>
    <t>ООО "РусАнтех"</t>
  </si>
  <si>
    <t>Русский радиатор ООО</t>
  </si>
  <si>
    <t>ООО "Русский радиатор"</t>
  </si>
  <si>
    <t>РусьКранСнаб, ООО</t>
  </si>
  <si>
    <t>ООО "РусьКранСнаб"</t>
  </si>
  <si>
    <t>Рябов Дмитрий Владимирович ИП</t>
  </si>
  <si>
    <t>Индивидуальный предприниматель Рябов Дмитрий Владимирович</t>
  </si>
  <si>
    <t>Рябоконь Вячеслав Геннадьевич, ИП</t>
  </si>
  <si>
    <t>ИП Рябоконь Вячеслав Геннадьевич</t>
  </si>
  <si>
    <t>Ряховский Алексей Александрович, ИП</t>
  </si>
  <si>
    <t>ИП Ряховский Алексей Александрович</t>
  </si>
  <si>
    <t>Сабитов Тимур Зуфарович</t>
  </si>
  <si>
    <t>Саетова Римма Порфирьевна ИП</t>
  </si>
  <si>
    <t>ИП Саетова Римма Порфирьевна</t>
  </si>
  <si>
    <t>Саитов Артем Маратович ИП</t>
  </si>
  <si>
    <t xml:space="preserve">ИП Саитов Артем Маратович </t>
  </si>
  <si>
    <t>Сайбель Екатерина Гарриевна ИП</t>
  </si>
  <si>
    <t xml:space="preserve">Индивидуальный предприниматель Сайбель Екатерина Гарриевна </t>
  </si>
  <si>
    <t>Самарский завод электромонтажных изделий, АО</t>
  </si>
  <si>
    <t>АО "Самарский завод электромонтажных изделий"</t>
  </si>
  <si>
    <t>СамГТУ ФГБОУ ВО</t>
  </si>
  <si>
    <t>ФГБ ОУ ВО "Самарский государственный технический университет"</t>
  </si>
  <si>
    <t>САН Производственная компания, ООО</t>
  </si>
  <si>
    <t>ООО "Производственная компания САН"</t>
  </si>
  <si>
    <t>САРАТОВСНАБ, ООО</t>
  </si>
  <si>
    <t>ООО "САРАТОВСНАБ"</t>
  </si>
  <si>
    <t>Сарваров Рустем Рустамович ИП</t>
  </si>
  <si>
    <t xml:space="preserve">ИП Сарваров Рустем Рустамович </t>
  </si>
  <si>
    <t>Саровская Генерирующая Компания АО</t>
  </si>
  <si>
    <t>АО "Саровская Генерирующая Компания"</t>
  </si>
  <si>
    <t>Саровская Электросетевая Компания АО</t>
  </si>
  <si>
    <t>АО "Саровская Электросетевая Компания"</t>
  </si>
  <si>
    <t>Сафетин ООО</t>
  </si>
  <si>
    <t>ООО "Сафетин"</t>
  </si>
  <si>
    <t>Сафин Ленар Хидиятович ИП</t>
  </si>
  <si>
    <t>Сафонов Александр Алексеевич ИП</t>
  </si>
  <si>
    <t xml:space="preserve">ИП Сафонов Александр Алексеевич </t>
  </si>
  <si>
    <t>СБ РФ № 29 ТЮМЕНСКЕ ГОРОДСКОЕ Г.Тюмень</t>
  </si>
  <si>
    <t>Сбербанк России (перечисление з/п)</t>
  </si>
  <si>
    <t>Сбербанк-АСТ АО</t>
  </si>
  <si>
    <t>АО "Сбербанк-АСТ"</t>
  </si>
  <si>
    <t>СБТ Производственно-инжиниринговая компания, ООО</t>
  </si>
  <si>
    <t>ООО "ПРОИЗВОДСТВЕННО-ИНЖИНИРИНГОВАЯ КОМПАНИЯ СБТ"</t>
  </si>
  <si>
    <t>СВАРНОВ КОМПАНИЯ ООО</t>
  </si>
  <si>
    <t>ООО "КОМПАНИЯ СВАРНОВ"</t>
  </si>
  <si>
    <t>Свияга Загородный клуб АО</t>
  </si>
  <si>
    <t>АО "Загородный клуб "Свияга"</t>
  </si>
  <si>
    <t>СВЯЗЬСТРОЙДЕТАЛЬ, ЗАО</t>
  </si>
  <si>
    <t>ЗАО "СВЯЗЬСТРОЙДЕТАЛЬ"</t>
  </si>
  <si>
    <t>СГРусс ООО</t>
  </si>
  <si>
    <t>ООО "СГРусс"</t>
  </si>
  <si>
    <t>СДЭК-Глобал ООО</t>
  </si>
  <si>
    <t>ООО "СДЭК-Глобал"</t>
  </si>
  <si>
    <t>СДЭК-Закамье ООО</t>
  </si>
  <si>
    <t>ООО "СДЭК-Закамье"</t>
  </si>
  <si>
    <t>Северсталь, ПАО</t>
  </si>
  <si>
    <t>ПАО "Северсталь"</t>
  </si>
  <si>
    <t>Сектор ООО</t>
  </si>
  <si>
    <t>ООО "Сектор"</t>
  </si>
  <si>
    <t>СЕЛДОН ПРО ООО</t>
  </si>
  <si>
    <t>ООО "СЕЛДОН ПРО"</t>
  </si>
  <si>
    <t>Сенсор ЗАО</t>
  </si>
  <si>
    <t>ЗАО "Сенсор"</t>
  </si>
  <si>
    <t>Сенсоры, Модули, Системы НВФ ООО</t>
  </si>
  <si>
    <t>ООО НВФ "Сенсоры, Модули, Системы"</t>
  </si>
  <si>
    <t>Сервисавтоматика ООО</t>
  </si>
  <si>
    <t>ООО "Сервисавтоматика"</t>
  </si>
  <si>
    <t>Сергеев Евгений Михайлович</t>
  </si>
  <si>
    <t xml:space="preserve">Серебрякова Ирина Николаевна </t>
  </si>
  <si>
    <t>Серебряный Лев ООО</t>
  </si>
  <si>
    <t>ООО "Серебряный Лев"</t>
  </si>
  <si>
    <t>Сет.комп. Бугульминские электрические сети</t>
  </si>
  <si>
    <t>Филиал ОАО "Сетевая Компания" Бугульминские электрические сети</t>
  </si>
  <si>
    <t>Сет.комп. Елабужские электрические сети</t>
  </si>
  <si>
    <t>Филиал  ОАО Сетевая компания" Елабужские электрические сети</t>
  </si>
  <si>
    <t>Сет.комп. Нижнекамские электрические сети</t>
  </si>
  <si>
    <t>Филиал ОАО "Сетевая компания"  Нижнекамские электрические сети</t>
  </si>
  <si>
    <t>Сетевая компания ОАО</t>
  </si>
  <si>
    <t>ОАО "Сетевая компания"</t>
  </si>
  <si>
    <t>Сибмаш, ООО</t>
  </si>
  <si>
    <t>ООО НПО "Сибирский Машиностроитель"</t>
  </si>
  <si>
    <t>Сибтехэнерго АО</t>
  </si>
  <si>
    <t>АО "Сибтехэнерго"</t>
  </si>
  <si>
    <t>Сибтрэн, ООО</t>
  </si>
  <si>
    <t>ООО "Сибтрэн"</t>
  </si>
  <si>
    <t>СИГНУР ПНП, ООО</t>
  </si>
  <si>
    <t>СИГНУР-ПРИБОРЫ, ООО</t>
  </si>
  <si>
    <t>ООО "СИГНУР-ПРИБОРЫ"</t>
  </si>
  <si>
    <t>СИЛТОН, ООО</t>
  </si>
  <si>
    <t>ООО "СИЛТОН"</t>
  </si>
  <si>
    <t>Сименс ООО</t>
  </si>
  <si>
    <t>ООО "Сименс"</t>
  </si>
  <si>
    <t>Сименс Энергетика ООО</t>
  </si>
  <si>
    <t>ООО "Сименс Энергетика"</t>
  </si>
  <si>
    <t>Симонова Эллина Вячеславовна Индивидуальный предприниматель</t>
  </si>
  <si>
    <t xml:space="preserve">Индивидуальный предприниматель Симонова Эллина Вячеславовна </t>
  </si>
  <si>
    <t>Симэкс ООО</t>
  </si>
  <si>
    <t>ООО "Симэкс"</t>
  </si>
  <si>
    <t>Системы комплексного снабжения ООО</t>
  </si>
  <si>
    <t>ООО "Системы комплексного снабжения"</t>
  </si>
  <si>
    <t>Сити Центр ООО</t>
  </si>
  <si>
    <t>ООО "Сити Центр"</t>
  </si>
  <si>
    <t>Ситилинк ООО</t>
  </si>
  <si>
    <t>ООО "Ситилинк"</t>
  </si>
  <si>
    <t>Сияние ООО</t>
  </si>
  <si>
    <t>ООО "Сияние"</t>
  </si>
  <si>
    <t>СКАЙЛЭНД ТРЭВЕЛ ООО</t>
  </si>
  <si>
    <t>ООО "СКАЙЛЭНД ТРЭВЕЛ"</t>
  </si>
  <si>
    <t>Следь Ю.Г. Адвокатский кабинет</t>
  </si>
  <si>
    <t>Адвокатский кабинет "Следь Ю.Г."</t>
  </si>
  <si>
    <t>Смарт-Инжиниринг ООО</t>
  </si>
  <si>
    <t>ООО "Смарт-Инжиниринг"</t>
  </si>
  <si>
    <t>Смирнов Алексей Алексеевич</t>
  </si>
  <si>
    <t>Смоленская ГРЭС филиал ПАО «Юнипро»</t>
  </si>
  <si>
    <t>Филиал "Смоленская ГРЭС" ПАО "Юнипро"</t>
  </si>
  <si>
    <t>СНГ-ЕК ООО</t>
  </si>
  <si>
    <t>ООО "Сервис Надежность Гарантия-ЕК"</t>
  </si>
  <si>
    <t>СНЭМА-СЕРВИС ООО</t>
  </si>
  <si>
    <t>ООО "СНЭМА-СЕРВИС"</t>
  </si>
  <si>
    <t>Совкомбанк ПАО</t>
  </si>
  <si>
    <t>ПАО "Совкомбанк"</t>
  </si>
  <si>
    <t>Совкомбанк ПАО филиал "Корпоративный"</t>
  </si>
  <si>
    <t>Филиал "Корпоративный" ПАО "СОВКОМБАНК"</t>
  </si>
  <si>
    <t>Современные инженерные сети ООО</t>
  </si>
  <si>
    <t>ООО "Современные инженерные сети"</t>
  </si>
  <si>
    <t>Совтест АТЕ ООО</t>
  </si>
  <si>
    <t>ООО "Совтест АТЕ"</t>
  </si>
  <si>
    <t>СОГАЗ АО</t>
  </si>
  <si>
    <t>АО "Страховое общество газовой промышленности"</t>
  </si>
  <si>
    <t>СОЗВЕЗДИЕ, ПФ, НПАО</t>
  </si>
  <si>
    <t>НПАО "ПФ"СОЗВЕЗДИЕ"</t>
  </si>
  <si>
    <t>СОНЭЛ  ООО</t>
  </si>
  <si>
    <t>ООО "СОНЭЛ"</t>
  </si>
  <si>
    <t>СофтЛайн Трейд АО</t>
  </si>
  <si>
    <t>АО "СофтЛайн Трейд"</t>
  </si>
  <si>
    <t>Софтмагазин Трейд, ООО</t>
  </si>
  <si>
    <t>ООО "Софтмагазин Трейд"</t>
  </si>
  <si>
    <t>СОЮЗ-ПРИБОР ООО</t>
  </si>
  <si>
    <t>ООО "СОЮЗ-ПРИБОР"</t>
  </si>
  <si>
    <t>СПБ-Экспертиза ООО</t>
  </si>
  <si>
    <t>ООО "СПБ-Экспертиза"</t>
  </si>
  <si>
    <t>СПЕКТР-М, ООО</t>
  </si>
  <si>
    <t>ООО "СПЕКТР-М"</t>
  </si>
  <si>
    <t>Спектр-СБ ООО</t>
  </si>
  <si>
    <t>ООО "Спектр-СБ"</t>
  </si>
  <si>
    <t>Спектрприбор-инжиниринг ООО</t>
  </si>
  <si>
    <t>ООО "Спектрприбор-инжиниринг"</t>
  </si>
  <si>
    <t>Спецпромсистемы ООО</t>
  </si>
  <si>
    <t>ООО "Спецпромсистемы"</t>
  </si>
  <si>
    <t>СПС, АНО ДПО (АНО ДПО «СПЕЦИАЛИСТПРОФСТАНДАРТ»)</t>
  </si>
  <si>
    <t>АНО ДПО "СПЕЦИАЛИСТПРОФСТАНДАРТ"</t>
  </si>
  <si>
    <t>СПСР-ЭКСПРЕСС ООО</t>
  </si>
  <si>
    <t>Общество с ограниченной ответственностью "СПСР-ЭКСПРЕСС"</t>
  </si>
  <si>
    <t>СТАЛЬ ООО</t>
  </si>
  <si>
    <t>ООО "СТАЛЬ"</t>
  </si>
  <si>
    <t>Стерлитамакская ТЭЦ ООО «БГК» (СтТЭЦ)</t>
  </si>
  <si>
    <t>Стерлитамакская ТЭЦ - филиал Общества с ограниченной ответственностью "Башкирская генерирующая компания"</t>
  </si>
  <si>
    <t>СТП ООО</t>
  </si>
  <si>
    <t>ООО "СТП"</t>
  </si>
  <si>
    <t>СтройАгроТехника, ООО</t>
  </si>
  <si>
    <t>ООО "СтройАгроТехника"</t>
  </si>
  <si>
    <t>СтройИнвест ПСК ООО</t>
  </si>
  <si>
    <t>ООО "ПСК СтройИнвест"</t>
  </si>
  <si>
    <t>СтройКонсалт ООО</t>
  </si>
  <si>
    <t>ООО "СтройКонсалт"</t>
  </si>
  <si>
    <t>СтройТерминал Центр Красок, ООО</t>
  </si>
  <si>
    <t>ООО "СтройТерминал Центр Красок"</t>
  </si>
  <si>
    <t>СтройТехСнабжение ООО</t>
  </si>
  <si>
    <t>ООО "СтройТехСнабжение"</t>
  </si>
  <si>
    <t>СТРОЙТОРГИНВЕСТ ООО</t>
  </si>
  <si>
    <t>ООО "СТРОЙТОРГИНВЕСТ"</t>
  </si>
  <si>
    <t>Сулейманов Ильнар Фаргатович ИП</t>
  </si>
  <si>
    <t xml:space="preserve">ИП Сулейманов Ильнар Фаргатович </t>
  </si>
  <si>
    <t>Султанова Гульназ Фанитовна ИП</t>
  </si>
  <si>
    <t xml:space="preserve">ИП Султанова Гульназ Фанитовна </t>
  </si>
  <si>
    <t>Сульженко Анатолий Александрович</t>
  </si>
  <si>
    <t>Сунгатуллин Ильнар Газизджанович ИП</t>
  </si>
  <si>
    <t xml:space="preserve">ИП Сунгатуллин Ильнар Газизджанович </t>
  </si>
  <si>
    <t>Суточно ООО</t>
  </si>
  <si>
    <t>ООО "Суточно"</t>
  </si>
  <si>
    <t>Сфера ООО</t>
  </si>
  <si>
    <t xml:space="preserve">ООО "Сфера" </t>
  </si>
  <si>
    <t>Сфера-2В ООО</t>
  </si>
  <si>
    <t>ООО "Сфера-2В"</t>
  </si>
  <si>
    <t>Сычкова Елена Викторовна</t>
  </si>
  <si>
    <t>СЭТУ ООО</t>
  </si>
  <si>
    <t>ООО "СЭТУ"</t>
  </si>
  <si>
    <t>Т Плюс ПАО</t>
  </si>
  <si>
    <t>ПАО "Т Плюс"</t>
  </si>
  <si>
    <t>Т Плюс ПАО производственное предприятие "Самарская ГРЭС" филиал Самарский</t>
  </si>
  <si>
    <t>Производственное предприятие "Самарская ГРЭС" филиала "Самарский" ПАО "Т Плюс"</t>
  </si>
  <si>
    <t>Т Плюс ПАО филиал Самарский</t>
  </si>
  <si>
    <t>Филиал "Самарский" ПАО "Т Плюс"</t>
  </si>
  <si>
    <t>Т-экспресс Групп, ООО</t>
  </si>
  <si>
    <t>ООО "Т-экспресс Групп"</t>
  </si>
  <si>
    <t>Тазетдинова Гульнара Мунировна Индивидуальный предприниматель</t>
  </si>
  <si>
    <t xml:space="preserve">Индивидуальный предприниматель Тазетдинова Гульнара Мунировна </t>
  </si>
  <si>
    <t>Тазиев Марат Нафисович ИП</t>
  </si>
  <si>
    <t xml:space="preserve">Индивидуальный предприниматель Тазиев Марат Нафисович </t>
  </si>
  <si>
    <t>ТАНАР, Медицинский центр ,ООО</t>
  </si>
  <si>
    <t>ООО "Медицинский центр ТАНАР"</t>
  </si>
  <si>
    <t>ТАТ-ЮГ ООО</t>
  </si>
  <si>
    <t>ООО "ТАТ-ЮГ"</t>
  </si>
  <si>
    <t>ТатАИСЭнерго ООО</t>
  </si>
  <si>
    <t>ООО "ТатАИСЭнерго"</t>
  </si>
  <si>
    <t>ТАТКОМПЛЕКТАВТО ООО</t>
  </si>
  <si>
    <t>ООО "ТАТКОМПЛЕКТАВТО"</t>
  </si>
  <si>
    <t>Татнефть ПАО им. В,Д,Шашина</t>
  </si>
  <si>
    <t>ПАО "Татнефть" им. В,Д,Шашина</t>
  </si>
  <si>
    <t>ТАТСЕРТ ЦС ООО</t>
  </si>
  <si>
    <t>Общество с ограниченной ответственностью Центр сертификации "ТАТСЕРТ"</t>
  </si>
  <si>
    <t>Таттелеком ПАО</t>
  </si>
  <si>
    <t>ПАО "Таттелеком"</t>
  </si>
  <si>
    <t>ТАТЭМ АО</t>
  </si>
  <si>
    <t>Акционерное общество "ТАТЭЛЕКТРОМОНТАЖ"</t>
  </si>
  <si>
    <t>Татэнерго АО</t>
  </si>
  <si>
    <t>АО "Татэнерго"</t>
  </si>
  <si>
    <t>Татэнерго Заинская ГРЭС Филиал АО</t>
  </si>
  <si>
    <t>Филиал АО "Татэнерго"- Заинская ГРЭС</t>
  </si>
  <si>
    <t>Татэнерго Казанская ТЭЦ -1 Филиал АО Татэнерго</t>
  </si>
  <si>
    <t>Филиал АО "Татэнерго"- Казанская ТЭЦ -1</t>
  </si>
  <si>
    <t>Татэнерго Н.Ч.ТЭЦ Филиал АО</t>
  </si>
  <si>
    <t>Филиал АО "Татэнерго"- НабережноЧелнинская ТЭЦ</t>
  </si>
  <si>
    <t>Татэнерго Нижнекамская ГЭС Филиал АО</t>
  </si>
  <si>
    <t>Филиал АО "Татэнерго"- Нижнекамская ГЭС</t>
  </si>
  <si>
    <t>ТБ ГРУПП, ООО</t>
  </si>
  <si>
    <t>ООО "ТБ ГРУПП"</t>
  </si>
  <si>
    <t>Твой дом, ООО</t>
  </si>
  <si>
    <t>ООО "Твой дом"</t>
  </si>
  <si>
    <t>ТГК-16 АО</t>
  </si>
  <si>
    <t>АО "ТГК-16"</t>
  </si>
  <si>
    <t>ТЕК-ТРАНСПОРТ ООО</t>
  </si>
  <si>
    <t>ООО "ТЕК-ТРАНСПОРТ"</t>
  </si>
  <si>
    <t>Теккноу АО</t>
  </si>
  <si>
    <t>АО "Теккноу"</t>
  </si>
  <si>
    <t>ТЕКО ЗАО</t>
  </si>
  <si>
    <t>Закрытое акционерное общество "ТЕКО"</t>
  </si>
  <si>
    <t>ТЕКО, ООО</t>
  </si>
  <si>
    <t>ООО "ТЕКО"</t>
  </si>
  <si>
    <t>ТендерПро ООО</t>
  </si>
  <si>
    <t>ООО "ТендерПро"</t>
  </si>
  <si>
    <t>Тензор Компания ООО</t>
  </si>
  <si>
    <t>ООО "Компания "Тензор"</t>
  </si>
  <si>
    <t>Теплодар ООО</t>
  </si>
  <si>
    <t>ООО "Теплодар"</t>
  </si>
  <si>
    <t>ТЕПЛОКОНТРОЛЬ АО</t>
  </si>
  <si>
    <t>ТЕПЛОКОНТРОЛЬ, ООО</t>
  </si>
  <si>
    <t>ООО "ТЕПЛОКОНТРОЛЬ"</t>
  </si>
  <si>
    <t>Теплоприбор-Сенсор, ООО</t>
  </si>
  <si>
    <t>ООО "Теплоприбор-Сенсор"</t>
  </si>
  <si>
    <t>Термо-Решения ООО</t>
  </si>
  <si>
    <t>ООО "Термо-Решения"</t>
  </si>
  <si>
    <t>ТЕСЕЙ ПК,ООО</t>
  </si>
  <si>
    <t>ООО "ПК "ТЕСЕЙ"</t>
  </si>
  <si>
    <t>ТЕСС-ИНЖИНИРИНГ ФИРМА ЗАО</t>
  </si>
  <si>
    <t>ЗАО ФИРМА "ТЕСС-ИНЖИНИРИНГ"</t>
  </si>
  <si>
    <t>ТЕХАЛЬЯНС ТД, ООО</t>
  </si>
  <si>
    <t>Общество с ограниченной ответственностью Торговый Дом "ТЕХАЛЬЯНС"</t>
  </si>
  <si>
    <t>ТЕХИНЖСТРОЙ СК ООО</t>
  </si>
  <si>
    <t>ООО "СК ТЕХИНЖСТРОЙ"</t>
  </si>
  <si>
    <t>Техкабельсистемс ООО</t>
  </si>
  <si>
    <t>ООО "Техкабельсистемс"</t>
  </si>
  <si>
    <t>ТЕХНЕФТЕХИМ ООО</t>
  </si>
  <si>
    <t>ООО "ТЕХНЕФТЕХИМ"</t>
  </si>
  <si>
    <t>Технические средства охраны ООО</t>
  </si>
  <si>
    <t>ООО "Технические средства охраны"</t>
  </si>
  <si>
    <t>Техноавиа-Казань ООО</t>
  </si>
  <si>
    <t>ООО "Техноавиа-Казань"</t>
  </si>
  <si>
    <t>ТехноАйТи ЛЛС, ООО</t>
  </si>
  <si>
    <t>ООО "ТехноАйТи ЛЛС"</t>
  </si>
  <si>
    <t>ТЕХНОЛАЙТ ООО</t>
  </si>
  <si>
    <t>ООО "ТЕХНОЛАЙТ"</t>
  </si>
  <si>
    <t>ТЕХНОЛОГ ООО</t>
  </si>
  <si>
    <t>ООО "ТЕХНОЛОГ"</t>
  </si>
  <si>
    <t>ТЕХНОЛОГИИ МАРКИРОВКИ, ООО</t>
  </si>
  <si>
    <t xml:space="preserve">Технология, ООО </t>
  </si>
  <si>
    <t>ООО "Технология"</t>
  </si>
  <si>
    <t>ТЕХНОПРОГРЕСС Институт повышения квалификации АНО ДПО</t>
  </si>
  <si>
    <t>Автономная некоммерческая организация дополнительного профессионального образования "Институт повышения квалификации ТЕХНОПРОГРЕСС"</t>
  </si>
  <si>
    <t>ТЕХНОТРЕЙД-74 ООО</t>
  </si>
  <si>
    <t>ООО "ТЕХНОТРЕЙД-74"</t>
  </si>
  <si>
    <t>ТЕХХАУС ООО</t>
  </si>
  <si>
    <t>ООО "ТЕХХАУС"</t>
  </si>
  <si>
    <t>ТЗ ГРУПП ООО</t>
  </si>
  <si>
    <t>ООО "ТЗ ГРУПП"</t>
  </si>
  <si>
    <t>ТИК НПП, ООО</t>
  </si>
  <si>
    <t>ООО НПП "ТИК"</t>
  </si>
  <si>
    <t>Тикетсклауд ООО</t>
  </si>
  <si>
    <t>ООО "Тикетсклауд"</t>
  </si>
  <si>
    <t>Тимченко Марина Николаевна</t>
  </si>
  <si>
    <t>ТИНКО ТД, ООО</t>
  </si>
  <si>
    <t>ООО "ТД ТИНКО"</t>
  </si>
  <si>
    <t>Тинькофф Банк АО</t>
  </si>
  <si>
    <t>АО "Тинькофф Банк"</t>
  </si>
  <si>
    <t>Титан МеталлоЦентр ПКФ ООО</t>
  </si>
  <si>
    <t>ООО ПКФ "МеталлоЦентр Титан"</t>
  </si>
  <si>
    <t>Титан ТК ООО</t>
  </si>
  <si>
    <t>ООО ТК "Титан"</t>
  </si>
  <si>
    <t>Тихоненко Александр Михайлович</t>
  </si>
  <si>
    <t>ТКА НТП, ООО</t>
  </si>
  <si>
    <t>ООО "НТП "ТКА"</t>
  </si>
  <si>
    <t>ТКЗ ООО</t>
  </si>
  <si>
    <t>ООО "ТКЗ"</t>
  </si>
  <si>
    <t>ТКЗ-Сервис ООО</t>
  </si>
  <si>
    <t>ТКС-ПОВОЛЖЬЕ ИТЦ ООО</t>
  </si>
  <si>
    <t>ООО ИТЦ "ТКС-ПОВОЛЖЬЕ"</t>
  </si>
  <si>
    <t>ТКЦ Энергия, ООО</t>
  </si>
  <si>
    <t>ООО "ТКЦ Энергия"</t>
  </si>
  <si>
    <t>ТОДС-СЕРВИС ООО</t>
  </si>
  <si>
    <t>ООО "ТОДС-СЕРВИС"</t>
  </si>
  <si>
    <t>Токтуева Наталия Геннадьевна ИП</t>
  </si>
  <si>
    <t>ИП Токтуева Наталия Геннадьевна</t>
  </si>
  <si>
    <t>Томскгазгеофизика ПФ ООО "Газпром недра"</t>
  </si>
  <si>
    <t>ПФ "Томскгазгеофизика" ООО "Газпром недра"</t>
  </si>
  <si>
    <t>Тонус+ ООО</t>
  </si>
  <si>
    <t>ООО "Тонус+"</t>
  </si>
  <si>
    <t>Тормосов Дмитрий Алексеевич, ИП</t>
  </si>
  <si>
    <t>ИП "Тормосов Дмитрий Алексеевич"</t>
  </si>
  <si>
    <t>ТОЧПРИБОР ООО</t>
  </si>
  <si>
    <t>ООО "ТОЧПРИБОР"</t>
  </si>
  <si>
    <t>ТПП Союз г.Наб.Челны РТ</t>
  </si>
  <si>
    <t>Союз "Торгово-промышленная палата города Набережные Челны Республики Татарстан"</t>
  </si>
  <si>
    <t>Трансимпериал, ООО</t>
  </si>
  <si>
    <t>ООО "Трансимпериал"</t>
  </si>
  <si>
    <t>ТРАНСПОРТНАЯ КОМПАНИЯ БАЛТ-ЭКС, ООО</t>
  </si>
  <si>
    <t>ООО "ТРАНСПОРТНАЯ КОМПАНИЯ БАЛТ-ЭКС"</t>
  </si>
  <si>
    <t>Триумф ООО</t>
  </si>
  <si>
    <t xml:space="preserve">ООО "Триумф" </t>
  </si>
  <si>
    <t>ТРИУМФ-КАНЦ ООО</t>
  </si>
  <si>
    <t>ООО "ТРИУМФ-КАНЦ"</t>
  </si>
  <si>
    <t>Трофимова Светлана Викторовна</t>
  </si>
  <si>
    <t>Трубопровод НТП,ООО</t>
  </si>
  <si>
    <t>ООО "НТП Трубопровод"</t>
  </si>
  <si>
    <t>ТРЭИ АО</t>
  </si>
  <si>
    <t>АО "ТРЭИ"</t>
  </si>
  <si>
    <t>ТУРК РУС ООО</t>
  </si>
  <si>
    <t>ООО "ТУРК РУС"</t>
  </si>
  <si>
    <t>Турукина Асия Мавлютовна ИП</t>
  </si>
  <si>
    <t>ТЭК-СИСТЕМС, ООО</t>
  </si>
  <si>
    <t>ООО "ТЭК-СИСТЕМС"</t>
  </si>
  <si>
    <t>ТЭК-Торг АО</t>
  </si>
  <si>
    <t>АО "ТЭК-Торг"</t>
  </si>
  <si>
    <t>ТЭР-Сервис ООО</t>
  </si>
  <si>
    <t>ООО "ТЭР-Сервис"</t>
  </si>
  <si>
    <t>УЗОЛА ООО</t>
  </si>
  <si>
    <t>ООО "УЗОЛА"</t>
  </si>
  <si>
    <t>УЗСК ООО</t>
  </si>
  <si>
    <t xml:space="preserve">Общество с ограниченной ответственностью "Уральский Завод Систем Коммутации" </t>
  </si>
  <si>
    <t>УК УЭС ООО</t>
  </si>
  <si>
    <t>ООО "УК УЭС"</t>
  </si>
  <si>
    <t>Унгурян Елена Анатольевна ИП</t>
  </si>
  <si>
    <t xml:space="preserve">Индивидуальный предприниматель Унгурян Елена Анатольевна </t>
  </si>
  <si>
    <t>Универсал ТК ООО</t>
  </si>
  <si>
    <t>ООО Транспортная Компания "Универсал"</t>
  </si>
  <si>
    <t>Управление федерального казначейства по Республике Карелия (ИФНС РФ по г. Петрозаводску Республики Карелия)</t>
  </si>
  <si>
    <t>УПФР в г. Набережные Челны Республики Татарстан</t>
  </si>
  <si>
    <t>ГОСУДАРСТВЕННОЕ УЧРЕЖДЕНИЕ - УПРАВЛЕНИЕ ПЕНСИОННОГО ФОНДА РОССИЙСКОЙ ФЕДЕРАЦИИ В Г. НАБЕРЕЖНЫЕ ЧЕЛНЫ РЕСПУБЛИКИ ТАТАРСТАН</t>
  </si>
  <si>
    <t>Уралкалий ПАО</t>
  </si>
  <si>
    <t>ПАО "Уралкалий"</t>
  </si>
  <si>
    <t xml:space="preserve">УРАЛСИБ БАНК ПАО ФИЛИАЛ </t>
  </si>
  <si>
    <t>ФИЛИАЛ ПАО "БАНК УРАЛСИБ"</t>
  </si>
  <si>
    <t>Уралспецсталь ООО</t>
  </si>
  <si>
    <t>ООО "Уралспецсталь"</t>
  </si>
  <si>
    <t>Уралтехэнерго ИЦ АО</t>
  </si>
  <si>
    <t>АО "ИЦ "Уралтехэнерго"</t>
  </si>
  <si>
    <t>Уралэнерго-Казань ООО</t>
  </si>
  <si>
    <t>ООО "Уралэнерго-Казань"</t>
  </si>
  <si>
    <t>Уралэнерго-Поволжье ООО</t>
  </si>
  <si>
    <t>ООО "Уралэнерго-Поволжье"</t>
  </si>
  <si>
    <t>УРАЛЭНЕРГОРЕМОНТ АО</t>
  </si>
  <si>
    <t>АО "УРАЛЭНЕРГОРЕМОНТ"</t>
  </si>
  <si>
    <t>Уралэнерготел, ООО</t>
  </si>
  <si>
    <t>ООО "Уралэнерготел"</t>
  </si>
  <si>
    <t>Услада ПЛЮС, ООО</t>
  </si>
  <si>
    <t>ООО "Услада ПЛЮС"</t>
  </si>
  <si>
    <t>Услада, ООО</t>
  </si>
  <si>
    <t>ООО "Услада"</t>
  </si>
  <si>
    <t>Усманов Денис Тимурович ИП</t>
  </si>
  <si>
    <t xml:space="preserve">ИП Усманов Денис Тимурович </t>
  </si>
  <si>
    <t>Уфимская ТЭЦ-2 филиал ООО "БГК"</t>
  </si>
  <si>
    <t>Уфимская ТЭЦ-2 филиал Общества с ограниченной ответственностью "Башкирская генерирующая компания"</t>
  </si>
  <si>
    <t>УФК по г.Москве (ИФНС России №26 по г.Москве)</t>
  </si>
  <si>
    <t>УФК по г.Санкт-Петербургу (Межрайонная ИФНС России № 7 по Санкт-Петербургу)</t>
  </si>
  <si>
    <t>УФК по г.Санкт-Петербургу (Межрайонная ИФНС России №11 по Санкт-Петербургу)</t>
  </si>
  <si>
    <t>УФК по Омской области (ИФНС России №2 по Центральному АО г.Омска)</t>
  </si>
  <si>
    <t>УФК по Республике Башкортостан (Межрайонная ИФНС России № 40 по Республике Башкортостан)</t>
  </si>
  <si>
    <t>УФК по Республике Марий Эл (Волжский РОСП УФССП России по Республике Марий Эл л/с 05081832520)</t>
  </si>
  <si>
    <t>УФК по Республике Татарстан (Волжско-Камское межрегиональное управление Росприроднадзора  л/с 04111780650)</t>
  </si>
  <si>
    <t>УФК по Республике Татарстан (УГИБДД МВД по Республике Татарстан)</t>
  </si>
  <si>
    <t>УФК по Республике Татарстан (Управление Росприроднадзора по Республике Татарстан  л/с 04111780650)</t>
  </si>
  <si>
    <t>УФК по РТ (ИФНС РФ по г.Набережные Челны РТ)</t>
  </si>
  <si>
    <t>УФК по РТ (ИФНС России по г.Набережные Челны РТ)</t>
  </si>
  <si>
    <t>УФК по РТ (Межрайонная инспекция ФНС №11 по РТ)</t>
  </si>
  <si>
    <t>УФК по РТ (Межрайонная инспекция ФНС №5 по РТ)</t>
  </si>
  <si>
    <t>УФК по РТ (Межрайонная ИФНС №9 по РТ)</t>
  </si>
  <si>
    <t>УФК по РТ (Межрайонная ИФНС России №14 по РТ)</t>
  </si>
  <si>
    <t>УФК по РТ (Межрайонная ИФНС России №3 по Республике Татарстан)</t>
  </si>
  <si>
    <t>УФК по РТ (ОСП по Ново-Савиновскому по г.Казани УФССП РОССИИ ПО РЕСПУБЛИКЕ ТАТАРСТАН Л/С 05111833430)</t>
  </si>
  <si>
    <t>УФК ПО РЕСПУБЛИКЕ ТАТАРСТАН (ОСП по Ново-Савиновскому по г.Казани УФССП РОССИИ ПО РЕСПУБЛИКЕ ТАТАРСТАН Л/С 05111833430)</t>
  </si>
  <si>
    <t>УФК по РТ (Приволжское управление Федеральной службы по экологическому, технологическому и атомному надзору)</t>
  </si>
  <si>
    <t>УФК по РТ Отд.18 Елабужский районный отдел судебных приставов УФССП России по РТ л.с.05111833600</t>
  </si>
  <si>
    <t>УФК по Ставропольскому краю (КУ Ростехнадзора) л/с 04211А84720</t>
  </si>
  <si>
    <t>УФК по Тюменской области (ИФНС Россиии по г.Тюмени №3)</t>
  </si>
  <si>
    <t>УФПС "Татарстан почтасы" (НОВЫЙ)</t>
  </si>
  <si>
    <t>УФПС "Татарстан почтасы"-филиал ФГУП  "Почта России"</t>
  </si>
  <si>
    <t>УЦСБ ООО</t>
  </si>
  <si>
    <t>Общество с ограниченной ответственностью "Уральский центр систем безопасности"</t>
  </si>
  <si>
    <t>УЭС-Автоматика ООО</t>
  </si>
  <si>
    <t>УЭТ ТД, ООО</t>
  </si>
  <si>
    <t>ООО "ТД УЭТ"</t>
  </si>
  <si>
    <t>Фабрикант.ру ООО</t>
  </si>
  <si>
    <t>Файзуллина Кадира Абдулловна Индивидуальный предприниматель</t>
  </si>
  <si>
    <t>Индивидуальный предприниматель Файзуллина Кадира Абдулловна</t>
  </si>
  <si>
    <t>ФАКТОР ГРУП ООО</t>
  </si>
  <si>
    <t>ООО "ФАКТОР ГРУП"</t>
  </si>
  <si>
    <t>Фархутдинов Тагир Нигаматулович</t>
  </si>
  <si>
    <t>Фасхутдинова Л.Р. ИП</t>
  </si>
  <si>
    <t>ИП Фасхутдинова Л.Р.</t>
  </si>
  <si>
    <t>ФБК Поволжье АК, ООО</t>
  </si>
  <si>
    <t>ООО "АК "ФБК ПОВОЛЖЬЕ"</t>
  </si>
  <si>
    <t>ФБК Поволжье ООО</t>
  </si>
  <si>
    <t>ФГАОУ ДПО АСМС</t>
  </si>
  <si>
    <t>Федеральное государственное автономное образовательное учреждение дополнительного профессионального образования "Академия стандартизации, метрологии и сертификации (учебная)"</t>
  </si>
  <si>
    <t>ФГУП  "Почта России"</t>
  </si>
  <si>
    <t>Федеральная пассажирская компания, АО</t>
  </si>
  <si>
    <t>АО "ФПК"</t>
  </si>
  <si>
    <t>Феникс Контакт РУС ООО</t>
  </si>
  <si>
    <t>ООО "Феникс Контакт РУС"</t>
  </si>
  <si>
    <t>Ферро-Групп ООО</t>
  </si>
  <si>
    <t>ООО "Ферро-Групп"</t>
  </si>
  <si>
    <t>Филиал «Центральный» Банка ВТБ (ПАО) в г.Москве</t>
  </si>
  <si>
    <t>ФИЛИАЛ № 6318 БАНКА ВТБ (ПАО)</t>
  </si>
  <si>
    <t>Филиал № 6602 Банка ВТБ (ПАО)</t>
  </si>
  <si>
    <t>Филиал № 7701 Банка ВТБ (ПАО)</t>
  </si>
  <si>
    <t>Филиал Банка ГПБ (АО) г.Казань</t>
  </si>
  <si>
    <t>Филиал Банка ГПБ (АО)  г.Казань</t>
  </si>
  <si>
    <t>ФИРМА ЛИСТ, ООО</t>
  </si>
  <si>
    <t>ООО "ФИРМА ЛИСТ"</t>
  </si>
  <si>
    <t>Фокеев Иван Михайлович</t>
  </si>
  <si>
    <t>Форт Диалог АО</t>
  </si>
  <si>
    <t>АО "Форт Диалог"</t>
  </si>
  <si>
    <t>ФОССТИС ООО</t>
  </si>
  <si>
    <t>ООО "ФОССТИС"</t>
  </si>
  <si>
    <t>ФСС (от НС и ПЗ)</t>
  </si>
  <si>
    <t>УФК по Республике Татарстан (ГУ-региональное отделение Фонда социального страхования РФ по РТ) л/с04114001450</t>
  </si>
  <si>
    <t>Хабибуллин Фаниль Вакилович ИП</t>
  </si>
  <si>
    <t>ИП Хабибуллин Фаниль Вакилович</t>
  </si>
  <si>
    <t>Хай Систем ООО</t>
  </si>
  <si>
    <t>ООО "Хай Систем"</t>
  </si>
  <si>
    <t>Хайриев Азат Шамилевич, ИП</t>
  </si>
  <si>
    <t>ИП Хайриев Азат Шамилевич</t>
  </si>
  <si>
    <t>Хайрулина Эльмира Харисовна</t>
  </si>
  <si>
    <t>Хакимзянова Лэйсана Магдановна</t>
  </si>
  <si>
    <t>Хамидуллин Рафаэль Азатович ИП</t>
  </si>
  <si>
    <t xml:space="preserve">ИП Хамидуллин Рафаэль Азатович </t>
  </si>
  <si>
    <t>Харисов Айрат Магсумзянович Индивидуальный предприниматель</t>
  </si>
  <si>
    <t xml:space="preserve">Индивидуальный предприниматель Харисов Айрат Магсумзянович </t>
  </si>
  <si>
    <t xml:space="preserve">Харитонова Светлана Андреевна </t>
  </si>
  <si>
    <t>Хасбиуллин Ильдар Шаймуллович ИП</t>
  </si>
  <si>
    <t xml:space="preserve">ИП Хасбиуллин Ильдар Шаймуллович </t>
  </si>
  <si>
    <t>ХДЛ Автоматизация, ООО</t>
  </si>
  <si>
    <t>ООО "ХДЛ Автоматизация"</t>
  </si>
  <si>
    <t>Хибатуллин Ренат Юлаевич ИП</t>
  </si>
  <si>
    <t xml:space="preserve">ИП Хибатуллин Ренат Юлаевич </t>
  </si>
  <si>
    <t>Хилти Дистрибьюшн ЛТД АО</t>
  </si>
  <si>
    <t>АО "Хилти Дистрибьюшн ЛТД"</t>
  </si>
  <si>
    <t>Химзавод им. Карпова АО</t>
  </si>
  <si>
    <t>Акционерное общество "Химический завод им. Л.Я. Карпова"</t>
  </si>
  <si>
    <t>ХИМКО, ООО</t>
  </si>
  <si>
    <t>ООО "ХИМКО"</t>
  </si>
  <si>
    <t>Химлаборприбор ПАО</t>
  </si>
  <si>
    <t>ПАО "Химлаборприбор"</t>
  </si>
  <si>
    <t xml:space="preserve">Хитинвест, ООО </t>
  </si>
  <si>
    <t>ООО "Хитинвест"</t>
  </si>
  <si>
    <t>Хишкина Наталья Владимировна ИП</t>
  </si>
  <si>
    <t xml:space="preserve">ИП Хишкина Наталья Владимировна </t>
  </si>
  <si>
    <t>Ходырев Андрей Геннадьевич ИП</t>
  </si>
  <si>
    <t>ИП Ходырев Андрей Геннадьевич</t>
  </si>
  <si>
    <t>Хомина Наталья Виталиевна</t>
  </si>
  <si>
    <t>Хорошие люди РА ООО</t>
  </si>
  <si>
    <t>ООО "Рекрутинговое Агентство "Хорошие люди"</t>
  </si>
  <si>
    <t>ХромЛаб ООО</t>
  </si>
  <si>
    <t>ООО "ХромЛаб"</t>
  </si>
  <si>
    <t>Хромова Юлия Вячеславовна ИП</t>
  </si>
  <si>
    <t>ИП Хромова Юлия Вячеславовна ИП</t>
  </si>
  <si>
    <t>ХСКР АО</t>
  </si>
  <si>
    <t>АО "ХОЛДИНГ СПЕЦКОМПЛЕКТРЕСУРС"</t>
  </si>
  <si>
    <t>Худоян Карен Севдинович ИП</t>
  </si>
  <si>
    <t xml:space="preserve">ИП Худоян Карен Севдинович </t>
  </si>
  <si>
    <t>Хусаинов Руслан Камилевич</t>
  </si>
  <si>
    <t>Хуснуллин Тагир Минзагирович ИП</t>
  </si>
  <si>
    <t xml:space="preserve">ИП Хуснуллин Тагир Минзагирович </t>
  </si>
  <si>
    <t>Хэдхантер ООО</t>
  </si>
  <si>
    <t>ООО "Хэдхантер"</t>
  </si>
  <si>
    <t>Центр гигиены и эпидемиологии в Ямало-Ненецком автономном округе, ФБУЗ</t>
  </si>
  <si>
    <t>ФБУЗ "Центр гигиены и эпидемиологии в Ямало-Ненецком автономном округе"</t>
  </si>
  <si>
    <t>Центр Групп ООО</t>
  </si>
  <si>
    <t>ООО "Центр Групп"</t>
  </si>
  <si>
    <t>Центр Испытаний и Сертификации "Союз" АНО</t>
  </si>
  <si>
    <t>АНО "Центр Испытаний и Сертификации "Союз"</t>
  </si>
  <si>
    <t>ЦЕНТР КРАСОК ТК ООО</t>
  </si>
  <si>
    <t>ООО ТК "ЦЕНТР КРАСОК"</t>
  </si>
  <si>
    <t>Центр медицинских справок ООО</t>
  </si>
  <si>
    <t>ООО "Центр медицинских справок"</t>
  </si>
  <si>
    <t>Центр Медицинской Диагностики, ООО</t>
  </si>
  <si>
    <t>ООО "Центр Медицинской Диагностики"</t>
  </si>
  <si>
    <t>Центр развития экономики АО</t>
  </si>
  <si>
    <t>АО "Центр развития экономики"</t>
  </si>
  <si>
    <t>ЦЕНТР ЭПБ ООО</t>
  </si>
  <si>
    <t>ООО "ЦЕНТР ЭПБ"</t>
  </si>
  <si>
    <t>Цирк Казанский Государственный ГАУК РТ</t>
  </si>
  <si>
    <t>Государственное автономное учреждение культуры Республики Татарстан "Казанский Государственный Цирк"</t>
  </si>
  <si>
    <t>ЦПК-Татнефть ЧОУ ДПО</t>
  </si>
  <si>
    <t>ЧОУ ДПО "ЦПК-Татнефть"</t>
  </si>
  <si>
    <t>ЦСМ Татарстан ФБУ</t>
  </si>
  <si>
    <t>ФБУ "Государственный региональный центр стандартизации, метрологии и испытаний в Республике Татарстан"</t>
  </si>
  <si>
    <t>ЦТЗ АО</t>
  </si>
  <si>
    <t>Акционерное общество "Центр Технического Заказчика"</t>
  </si>
  <si>
    <t>Чецкая Александра Романовна</t>
  </si>
  <si>
    <t>ЧИП и ДИП ЗАО</t>
  </si>
  <si>
    <t>ЗАО "ЧИП и ДИП"</t>
  </si>
  <si>
    <t>Чуркин Алексей Эдуардович ИП</t>
  </si>
  <si>
    <t>Индивидуальный предприниматель Чуркин Алексей Эдуардович</t>
  </si>
  <si>
    <t>ЧЭАЗ, АО (Акционерное общество "Чебоксарский электроаппаратный завод")</t>
  </si>
  <si>
    <t>АО "ЧЭАЗ"</t>
  </si>
  <si>
    <t>ЧЭТЗ ООО</t>
  </si>
  <si>
    <t>ООО "Чебоксарский электротехнический завод"</t>
  </si>
  <si>
    <t>Шайхутдинов Тимур Наилевич Индивидуальный предприниматель</t>
  </si>
  <si>
    <t xml:space="preserve">Индивидуальный предприниматель Шайхутдинов Тимур Наилевич </t>
  </si>
  <si>
    <t>Шамсутдинова Лидия Харисовна ИП</t>
  </si>
  <si>
    <t xml:space="preserve">ИП Шамсутдинова Лидия Харисовна </t>
  </si>
  <si>
    <t>Шаповаленко Юлия Владимировна</t>
  </si>
  <si>
    <t>Шарафеев Руслан Гумерович ИП</t>
  </si>
  <si>
    <t>Индивидуальный предприниматель Шарафеев Руслан Гумерович</t>
  </si>
  <si>
    <t>Шарифуллина З.Я ИП</t>
  </si>
  <si>
    <t>ИП Шарифуллина З.Я</t>
  </si>
  <si>
    <t>Шафиков Ренат Рифхатович ИП</t>
  </si>
  <si>
    <t>Индивидуальный предприниматель Шафиков Ренат Рифхатович</t>
  </si>
  <si>
    <t>Швецов Анатолий Алексеевич Индивидуальный предприниматель</t>
  </si>
  <si>
    <t xml:space="preserve">Индивидуальный предприниматель Швецов Анатолий Алексеевич </t>
  </si>
  <si>
    <t>Шевченко Сергей Анатольевич</t>
  </si>
  <si>
    <t>ШИППИНГСТРОЙСЕРВИС, ООО</t>
  </si>
  <si>
    <t>ООО "ШИППИНГСТРОЙСЕРВИС"</t>
  </si>
  <si>
    <t>Ширшова Анастасия Сергеевна ИП</t>
  </si>
  <si>
    <t xml:space="preserve">ИП Ширшова Анастасия Сергеевна </t>
  </si>
  <si>
    <t>Шихалиев Замир Шихалиевич</t>
  </si>
  <si>
    <t>Шнейдер Электрик АО</t>
  </si>
  <si>
    <t>АО "Шнейдер Электрик"</t>
  </si>
  <si>
    <t>Шнейдер Электрик Системс, ООО</t>
  </si>
  <si>
    <t>ООО "Шнейдер Электрик Системс"</t>
  </si>
  <si>
    <t>Штиль, ООО</t>
  </si>
  <si>
    <t>ООО "Штиль"</t>
  </si>
  <si>
    <t>Шулепин Андрей Борисович</t>
  </si>
  <si>
    <t>Шухат Виктория Вадимовна ИП</t>
  </si>
  <si>
    <t xml:space="preserve">ИП Шухат Виктория Вадимовна </t>
  </si>
  <si>
    <t>Щедринов Роман Игоревич</t>
  </si>
  <si>
    <t>ЭДС ПКП ООО</t>
  </si>
  <si>
    <t>ООО ПКП "ЭДС"</t>
  </si>
  <si>
    <t>ЭИК ООО</t>
  </si>
  <si>
    <t>ООО "ЭНЕРГОИНЖИНИРИНГОВАЯ КОМПАНИЯ"</t>
  </si>
  <si>
    <t>Эй-Си Электроникс ООО</t>
  </si>
  <si>
    <t>ООО "Эй-Си Электроникс"</t>
  </si>
  <si>
    <t xml:space="preserve">ЭйФел, ООО </t>
  </si>
  <si>
    <t>ООО "ЭйФел"</t>
  </si>
  <si>
    <t>Экострой СК ООО</t>
  </si>
  <si>
    <t>ООО "СК Экострой"</t>
  </si>
  <si>
    <t>Экс Леге Юридическое агентство ООО</t>
  </si>
  <si>
    <t>ООО "Юридическое агентство "Экс Леге"</t>
  </si>
  <si>
    <t>ЭКСИС АО</t>
  </si>
  <si>
    <t>АО "ЭКСИС"</t>
  </si>
  <si>
    <t>Эксперт-Лизинг ООО</t>
  </si>
  <si>
    <t>ООО "Эксперт-Лизинг"</t>
  </si>
  <si>
    <t xml:space="preserve">ЭЛАРА АО </t>
  </si>
  <si>
    <t>Акционерное общество "Научно-производственный комплекс "ЭЛАРА" имени Г.А. Ильенко"</t>
  </si>
  <si>
    <t>ЭлекКом Логистик ООО</t>
  </si>
  <si>
    <t>ООО "ЭлекКом Логистик"</t>
  </si>
  <si>
    <t>ЭЛЕКТРО ООО</t>
  </si>
  <si>
    <t>ООО "ЭЛЕКТРО"</t>
  </si>
  <si>
    <t>Электро-Лайн ООО</t>
  </si>
  <si>
    <t>ООО "Электро-Лайн"</t>
  </si>
  <si>
    <t>Электроаппарат ЭТЗ, ООО</t>
  </si>
  <si>
    <t>ООО "ЭТЗ Электроаппарат"</t>
  </si>
  <si>
    <t>Электрозип ООО</t>
  </si>
  <si>
    <t>ООО "Электрозип"</t>
  </si>
  <si>
    <t>Электрокомплект ООО</t>
  </si>
  <si>
    <t>ООО "Электрокомплект"</t>
  </si>
  <si>
    <t>Электролуч, ЗАО</t>
  </si>
  <si>
    <t>ЗАО "Электролуч"</t>
  </si>
  <si>
    <t xml:space="preserve">Электромагнит ООО ПКФ </t>
  </si>
  <si>
    <t>ООО ПКФ «Электромагнит»</t>
  </si>
  <si>
    <t>Электромагнит, ООО</t>
  </si>
  <si>
    <t>ООО "Электромагнит"</t>
  </si>
  <si>
    <t>Электромеханика НПП ООО</t>
  </si>
  <si>
    <t>ООО "НПП Электромеханика"</t>
  </si>
  <si>
    <t>ЭЛЕКТРОНИКА И СВЯЗЬ компания, ООО</t>
  </si>
  <si>
    <t>ООО компания "ЭЛЕКТРОНИКА И СВЯЗЬ"</t>
  </si>
  <si>
    <t>Электронные торговые системы АО</t>
  </si>
  <si>
    <t>АО "Электронные торговые системы"</t>
  </si>
  <si>
    <t>Электронный экспресс ООО</t>
  </si>
  <si>
    <t>ООО "Электронный экспресс"</t>
  </si>
  <si>
    <t>ЭЛЕКТРОНПРИБОР, ООО</t>
  </si>
  <si>
    <t>ООО "ЭЛЕКТРОНПРИБОР"</t>
  </si>
  <si>
    <t>ЭЛЕКТРОНЩИК ДКО ООО</t>
  </si>
  <si>
    <t>ООО "ДКО ЭЛЕКТРОНЩИК"</t>
  </si>
  <si>
    <t>ЭЛЕКТРОПОСТАВЩИК ООО</t>
  </si>
  <si>
    <t>ООО "ЭЛЕКТРОПОСТАВЩИК"</t>
  </si>
  <si>
    <t>Электроприбор ОАО</t>
  </si>
  <si>
    <t>ОАО "Электроприбор"</t>
  </si>
  <si>
    <t>ЭЛЕКТРОПРИБОР ООО</t>
  </si>
  <si>
    <t>ООО "ЭЛЕКТРОПРИБОР"</t>
  </si>
  <si>
    <t>Электропроект ООО</t>
  </si>
  <si>
    <t>ООО "Электропроект"</t>
  </si>
  <si>
    <t>ЭЛЕКТРОПРОМСБЫТ ООО</t>
  </si>
  <si>
    <t>ООО "ЭЛЕКТРОПРОМСБЫТ"</t>
  </si>
  <si>
    <t>ЭЛЕКТРОСПЕЦКОМПЛЕКТ ООО</t>
  </si>
  <si>
    <t>ООО "ЭЛЕКТРОСПЕЦКОМПЛЕКТ"</t>
  </si>
  <si>
    <t>Электростиль Набережные Челны ООО</t>
  </si>
  <si>
    <t>ООО "Электростиль Набережные Челны"</t>
  </si>
  <si>
    <t>Электротехмонтаж ТД ООО Воронеж</t>
  </si>
  <si>
    <t>ООО "ТД "ЭЛЕКТРОТЕХМОНТАЖ"</t>
  </si>
  <si>
    <t>Электротехмонтаж ТД ООО Казань</t>
  </si>
  <si>
    <t>Электротехник ПО ЗАО</t>
  </si>
  <si>
    <t>ЗАО "ПО Электротехник"</t>
  </si>
  <si>
    <t>Элемент НПЦ Филиал ООО</t>
  </si>
  <si>
    <t>Филиал ООО "НПЦ "Элемент"</t>
  </si>
  <si>
    <t>ЭЛЕМЕР-УФА ООО</t>
  </si>
  <si>
    <t>ООО "ЭЛЕМЕР-УФА"</t>
  </si>
  <si>
    <t>ЭЛИЗ, ООО</t>
  </si>
  <si>
    <t>ООО "ЭЛИЗ"</t>
  </si>
  <si>
    <t>Элитан Трейд ООО</t>
  </si>
  <si>
    <t>ООО "Элитан Трейд"</t>
  </si>
  <si>
    <t>ЭЛМАШПРОМ, ООО</t>
  </si>
  <si>
    <t>ООО "ЭЛМАШПРОМ"</t>
  </si>
  <si>
    <t>Элна-Север Плюс, ООО</t>
  </si>
  <si>
    <t>ООО "Элна-Север Плюс"</t>
  </si>
  <si>
    <t>ЭЛСИ Энергопроект АО</t>
  </si>
  <si>
    <t>АО "ЭЛСИ Энергопроект"</t>
  </si>
  <si>
    <t>ЭЛСТРОЙ ООО</t>
  </si>
  <si>
    <t>ООО "ЭЛСТРОЙ"</t>
  </si>
  <si>
    <t>Элтехника, ООО</t>
  </si>
  <si>
    <t>ООО "Элтехника"</t>
  </si>
  <si>
    <t>ЭЛТЕХПРОМ, ООО</t>
  </si>
  <si>
    <t>ООО "ЭЛТЕХПРОМ"</t>
  </si>
  <si>
    <t>ЭЛЬБЕР ООО</t>
  </si>
  <si>
    <t>ООО "ЭЛЬБЕР"</t>
  </si>
  <si>
    <t>Эльком ТД, ООО</t>
  </si>
  <si>
    <t>ООО "ТД Эльком"</t>
  </si>
  <si>
    <t>Эмерсон ООО</t>
  </si>
  <si>
    <t>ЭМИ-ПРИБОР ООО</t>
  </si>
  <si>
    <t>ООО "ЭМИ-ПРИБОР"</t>
  </si>
  <si>
    <t>ЭМИС-Прибор, ООО</t>
  </si>
  <si>
    <t>ООО "ЭМИС-Прибор"</t>
  </si>
  <si>
    <t>Эн-Пауэр ООО</t>
  </si>
  <si>
    <t>ООО "Эн-Пауэр"</t>
  </si>
  <si>
    <t>ЭНАЛ АО</t>
  </si>
  <si>
    <t>АО "ЭНАЛ"</t>
  </si>
  <si>
    <t>ЭНЕРГ-ОН ООО</t>
  </si>
  <si>
    <t>ООО "ЭНЕРГ-ОН"</t>
  </si>
  <si>
    <t>Энергетик АНО ДПО ПРЦПК</t>
  </si>
  <si>
    <t>АНО ДПО "ПРЦПК "Энергетик"</t>
  </si>
  <si>
    <t>ЭНЕРГИЯ, ООО</t>
  </si>
  <si>
    <t>ООО "ЭНЕРГИЯ"</t>
  </si>
  <si>
    <t>Энерго-Теплоконтроль ООО</t>
  </si>
  <si>
    <t>ООО "Энерго-Теплоконтроль"</t>
  </si>
  <si>
    <t>Энергогарант САК ПАО Казанский филиал</t>
  </si>
  <si>
    <t>Казанский филиал ПАО "САК "Энергогарант"</t>
  </si>
  <si>
    <t>ЭНЕРГОЗАЩИТА ООО</t>
  </si>
  <si>
    <t>ООО "ЭНЕРГОЗАЩИТА"</t>
  </si>
  <si>
    <t>Энергоизмеритель ООО</t>
  </si>
  <si>
    <t>ООО "Энергоизмеритель"</t>
  </si>
  <si>
    <t>Энергоинжиниринг ООО</t>
  </si>
  <si>
    <t>ООО "Энергоинжиниринг"</t>
  </si>
  <si>
    <t>Энергокомплект АО</t>
  </si>
  <si>
    <t>АО "Энергокомплект"</t>
  </si>
  <si>
    <t>Энергоподряд ООО</t>
  </si>
  <si>
    <t>ООО "Энергоподряд"</t>
  </si>
  <si>
    <t>Энергопрогресс ИЦ ООО</t>
  </si>
  <si>
    <t>ООО ИЦ "Энергопрогресс"</t>
  </si>
  <si>
    <t>Энергопроект-Инжиниринг ООО</t>
  </si>
  <si>
    <t>ООО "Энергопроект-Инжиниринг"</t>
  </si>
  <si>
    <t>Энергопроектстрой ООО</t>
  </si>
  <si>
    <t>ООО "Энергопроектстрой"</t>
  </si>
  <si>
    <t>ЭНЕРГОПРОМ ООО (г.Тюмень)</t>
  </si>
  <si>
    <t>ООО "ЭНЕРГОПРОМ"</t>
  </si>
  <si>
    <t>Энергопромкомплект НПФ,ООО</t>
  </si>
  <si>
    <t>ООО "НПФ "Энергопромкомплект"</t>
  </si>
  <si>
    <t>Энергосвязьинвест ООО</t>
  </si>
  <si>
    <t>ООО "Энергосвязьинвест"</t>
  </si>
  <si>
    <t>Энергосервис Инженерный центр ,ООО</t>
  </si>
  <si>
    <t>ООО "Инженерный центр "Энергосервис"</t>
  </si>
  <si>
    <t xml:space="preserve">ЭнергоТеплоКонтроль, ООО </t>
  </si>
  <si>
    <t>ООО "ЭнергоТеплоКонтроль"</t>
  </si>
  <si>
    <t>Энерготех-наладка ООО</t>
  </si>
  <si>
    <t>ООО "Предприятие "Энерготех-наладка"</t>
  </si>
  <si>
    <t>Энерготехкомплект ООО</t>
  </si>
  <si>
    <t>ООО "Энерготехкомплект"</t>
  </si>
  <si>
    <t>Энерготехномаш ООО</t>
  </si>
  <si>
    <t>ООО "Энерготехномаш"</t>
  </si>
  <si>
    <t>ЭнергоТехСервис ООО</t>
  </si>
  <si>
    <t>ООО "ЭнергоТехСервис"</t>
  </si>
  <si>
    <t>ЭНЕРГОТЭЛ ООО</t>
  </si>
  <si>
    <t>ООО "ЭНЕРГОТЭЛ"</t>
  </si>
  <si>
    <t>ЭНКА ИНШААТ ВЕ САНАЙИ А.Ш.</t>
  </si>
  <si>
    <t>ЭННОВА АО</t>
  </si>
  <si>
    <t>АО "ЭННОВА"</t>
  </si>
  <si>
    <t>Энрима-Системс ООО</t>
  </si>
  <si>
    <t>ООО "Энрима-Системс"</t>
  </si>
  <si>
    <t>Энтузиаст-С ООО</t>
  </si>
  <si>
    <t>ООО"Энтузиаст-С"</t>
  </si>
  <si>
    <t>ЭНТЭК ООО</t>
  </si>
  <si>
    <t>ООО "ЭНТЭК"</t>
  </si>
  <si>
    <t>ЭР-Телеком Холдинг АО (Казань)</t>
  </si>
  <si>
    <t>АО "ЭР-Телеком Холдинг"</t>
  </si>
  <si>
    <t>ЭР-Телеком Холдинг АО (Н.Челны)</t>
  </si>
  <si>
    <t>ЭРА ООО</t>
  </si>
  <si>
    <t>ООО "Электронные разработки - Автоматизация"</t>
  </si>
  <si>
    <t>ЭРВИСТ Компания ООО</t>
  </si>
  <si>
    <t>ООО "Компания ЭРВИСТ"</t>
  </si>
  <si>
    <t>Эталон НПП, АО</t>
  </si>
  <si>
    <t>АО "НПП "Эталон"</t>
  </si>
  <si>
    <t>ЭТАЛОНПРИБОР НПЦ ООО</t>
  </si>
  <si>
    <t>ООО "НПЦ "ЭТАЛОНПРИБОР"</t>
  </si>
  <si>
    <t>ЭТАЛОНПРИБОР, ООО</t>
  </si>
  <si>
    <t>ООО "ЭТАЛОНПРИБОР"</t>
  </si>
  <si>
    <t>ЭТАЛОРОСТ ООО</t>
  </si>
  <si>
    <t>ООО "ЭТАЛОРОСТ"</t>
  </si>
  <si>
    <t>ЭТП ГПБ ООО</t>
  </si>
  <si>
    <t xml:space="preserve">ООО ЭТП ГПБ </t>
  </si>
  <si>
    <t>ЭТП ООО</t>
  </si>
  <si>
    <t>ООО "ЭТП"</t>
  </si>
  <si>
    <t>Южноуральская изоляторная компания, ООО ( ООО "ЮИК")</t>
  </si>
  <si>
    <t>ООО "Южноуральская изоляторная компания"</t>
  </si>
  <si>
    <t>ЮКЭК ООО</t>
  </si>
  <si>
    <t>ООО "Южно-Кузбасская энергетическая компания"</t>
  </si>
  <si>
    <t>ЮМАС НПО, ООО</t>
  </si>
  <si>
    <t>ООО НПО "ЮМАС"</t>
  </si>
  <si>
    <t>Юнипро ПАО</t>
  </si>
  <si>
    <t>ПАО "Юнипро"</t>
  </si>
  <si>
    <t>Яндекс.Такси ООО</t>
  </si>
  <si>
    <t>ООО "Яндекс.Такси"</t>
  </si>
  <si>
    <t>Ясина Ксения Геннадьевна</t>
  </si>
  <si>
    <t>Siemens Industry Software GmbH</t>
  </si>
  <si>
    <t>URALENERGOSERVICE TECHNOLOGIES ООО СП</t>
  </si>
  <si>
    <t>СП ООО "URALENERGOSERVICE TECHNOLOGIES"</t>
  </si>
  <si>
    <t>АБВ ФениксПро, ООО</t>
  </si>
  <si>
    <t>ООО "АБВ ФениксПро"</t>
  </si>
  <si>
    <t>АБС ЗЭиМ Автоматизация, АО</t>
  </si>
  <si>
    <t xml:space="preserve">Авеон ООО </t>
  </si>
  <si>
    <t>ООО "Авеон"</t>
  </si>
  <si>
    <t>Авиакомпания АЗИМУТ, АО</t>
  </si>
  <si>
    <t>АКЦИОНЕРНОЕ ОБЩЕСТВО "АВИАКОМПАНИЯ АЗИМУТ"</t>
  </si>
  <si>
    <t>Авиакомпания РЕД ВИНГС АО</t>
  </si>
  <si>
    <t>Акционерное общество "РЕД ВИНГС"</t>
  </si>
  <si>
    <t>Авиакомпания СЕВЕРНЫЙ ВЕТЕР ООО</t>
  </si>
  <si>
    <t>Авиакомпания Северсталь</t>
  </si>
  <si>
    <t>ООО "АВИАПРЕДПРИЯТИЕ "СЕВЕРСТАЛЬ"</t>
  </si>
  <si>
    <t>Авиакомпания ЮТэйр ПАО</t>
  </si>
  <si>
    <t>ПАО "Авиакомпания "ЮТэйр"</t>
  </si>
  <si>
    <t>АВТОЮРИСТ №1, ООО</t>
  </si>
  <si>
    <t>ООО "АДВАНТЕК ИНЖЕНИРИНГ"</t>
  </si>
  <si>
    <t>АДЛ ТД ,ООО</t>
  </si>
  <si>
    <t>Ай-Платформ ООО</t>
  </si>
  <si>
    <t>ООО "Ай-Платформ"</t>
  </si>
  <si>
    <t>Айсберг АС Москва,ФИЛИАЛ</t>
  </si>
  <si>
    <t>ООО ПКФ "Айсберг АС Москва"</t>
  </si>
  <si>
    <t>Айсберг АС ПКФ, ООО</t>
  </si>
  <si>
    <t>ООО ПКФ "Айсберг АС"</t>
  </si>
  <si>
    <t>ООО "АЙТАТ КОМПАНИЯ"</t>
  </si>
  <si>
    <t xml:space="preserve">АК БАРС БАНК ПАО </t>
  </si>
  <si>
    <t xml:space="preserve">АкваКомфорт Сервис ООО </t>
  </si>
  <si>
    <t>ООО "АкваКомфорт Сервис"</t>
  </si>
  <si>
    <t>Алекс-Авто, ООО</t>
  </si>
  <si>
    <t>ООО "Алекс-Авто"</t>
  </si>
  <si>
    <t>Алексеев Е.А ИП</t>
  </si>
  <si>
    <t>Алекто-Электроникс Фирма, ООО</t>
  </si>
  <si>
    <t>ООО "Фирма "Алекто-Электроникс"</t>
  </si>
  <si>
    <t>Альянс, ООО</t>
  </si>
  <si>
    <t>ООО "Альянс"</t>
  </si>
  <si>
    <t>Андреев Дмитрий Олегович</t>
  </si>
  <si>
    <t>Андреева Галина Михайловна</t>
  </si>
  <si>
    <t>ООО «Антей»</t>
  </si>
  <si>
    <t xml:space="preserve">АПАТОР Группа ООО </t>
  </si>
  <si>
    <t>Апрель.Ру ООО</t>
  </si>
  <si>
    <t>ООО "Апрель.Ру"</t>
  </si>
  <si>
    <t>Ареал СК ООО</t>
  </si>
  <si>
    <t>ООО "СК Ареал"</t>
  </si>
  <si>
    <t>Армаком, ООО</t>
  </si>
  <si>
    <t>ООО "Армаком"</t>
  </si>
  <si>
    <t>АРНТЕЛ ООО</t>
  </si>
  <si>
    <t>ООО "АРНТЕЛ"</t>
  </si>
  <si>
    <t>АРТИШОК, ООО</t>
  </si>
  <si>
    <t>ООО "АРТИШОК"</t>
  </si>
  <si>
    <t>АТВ-ЭЛЕКТРО ТД ООО</t>
  </si>
  <si>
    <t>ООО "Торговый Дом "АТВ-ЭЛЕКТРО"</t>
  </si>
  <si>
    <t>АТОМЭЛЕКТРОКОМПЛЕКТ, ООО</t>
  </si>
  <si>
    <t>ООО "АТОМЭЛЕКТРОКОМПЛЕКТ"</t>
  </si>
  <si>
    <t>Байкал-Сервис Набережные Челны ООО</t>
  </si>
  <si>
    <t xml:space="preserve">БАРС ЭЛЕКТРО ООО </t>
  </si>
  <si>
    <t>ООО "БАРС ЭЛЕКТРО"</t>
  </si>
  <si>
    <t>БВБ Альянс, ООО</t>
  </si>
  <si>
    <t>ООО "БВБ-Альянс"</t>
  </si>
  <si>
    <t>БестСтрой ООО</t>
  </si>
  <si>
    <t>ООО "БестСтрой"</t>
  </si>
  <si>
    <t>БИЛТЕХ ГК, ООО</t>
  </si>
  <si>
    <t>ООО ГК "БИЛТЕХ"</t>
  </si>
  <si>
    <t>Бирюков Сергей Вячеславович</t>
  </si>
  <si>
    <t>Богданова Надежда Юрьевна</t>
  </si>
  <si>
    <t>БРАНДМАУЭР ООО</t>
  </si>
  <si>
    <t>ООО "БРАНДМАУЭР"</t>
  </si>
  <si>
    <t>Буревестник, ООО</t>
  </si>
  <si>
    <t>Валмет Автоматизация АО</t>
  </si>
  <si>
    <t>АО "Валмет Автоматизация"</t>
  </si>
  <si>
    <t>ВБИ-крепеж, ООО</t>
  </si>
  <si>
    <t>ВИБРОБИТ НПП, ООО</t>
  </si>
  <si>
    <t>ВИСКОМ, ООО</t>
  </si>
  <si>
    <t xml:space="preserve">ВО Безопасность АО </t>
  </si>
  <si>
    <t>Водопад ООО</t>
  </si>
  <si>
    <t>ООО "Водопад"</t>
  </si>
  <si>
    <t>ВОЗОВОЗ ООО</t>
  </si>
  <si>
    <t>ООО "ВОЗОВОЗ"</t>
  </si>
  <si>
    <t>Восток-Сервис-Тула, ООО</t>
  </si>
  <si>
    <t>ООО "Восток-Сервис-Тула"</t>
  </si>
  <si>
    <t>Восток-Сервис, ООО</t>
  </si>
  <si>
    <t>ООО "Восток-Сервис"</t>
  </si>
  <si>
    <t>ВТБ филиал</t>
  </si>
  <si>
    <t>ФИЛИАЛ №6318 БАНКА ВТБ (ПАО) г.Самара</t>
  </si>
  <si>
    <t>Вятский Берег, ООО</t>
  </si>
  <si>
    <t xml:space="preserve">ГВК ООО </t>
  </si>
  <si>
    <t>ООО "ГВК"</t>
  </si>
  <si>
    <t>Герда, ООО</t>
  </si>
  <si>
    <t>ООО "Герда"</t>
  </si>
  <si>
    <t>Гидрогазприбор НПП, ООО</t>
  </si>
  <si>
    <t>ООО НПП "Гидрогазприбор"</t>
  </si>
  <si>
    <t>Гималаи НПП, ООО</t>
  </si>
  <si>
    <t xml:space="preserve">Министерство финансов Республики Татарстан (ГАУЗ "РКНД МЗ РТ") </t>
  </si>
  <si>
    <t>Гранта СК ООО</t>
  </si>
  <si>
    <t>Общество с ограниченной ответственностью "Страховая компания "Гранта"</t>
  </si>
  <si>
    <t>Грузотема-Сибирь ООО</t>
  </si>
  <si>
    <t>ООО "Грузотема-Сибирь"</t>
  </si>
  <si>
    <t>Губина Татьяна Михайловна</t>
  </si>
  <si>
    <t>Джус Мария Васильевна</t>
  </si>
  <si>
    <t>Диагностика ИЭЦ, ООО</t>
  </si>
  <si>
    <t>ООО ИЭЦ "Диагностика"</t>
  </si>
  <si>
    <t xml:space="preserve">ДНС Ритейл, ООО </t>
  </si>
  <si>
    <t>ООО "ДНС Ритейл"</t>
  </si>
  <si>
    <t>Доминик компания, ООО</t>
  </si>
  <si>
    <t>ООО "Компания Доминик"</t>
  </si>
  <si>
    <t>Домино ООО</t>
  </si>
  <si>
    <t>ООО "Домино"</t>
  </si>
  <si>
    <t>ДХЛ Интернешнл АО (DHL)</t>
  </si>
  <si>
    <t>ЕВРОАВТОМАТИКА ООО</t>
  </si>
  <si>
    <t>ЕВРОПЛАН ЛИЗИНГОВАЯ КОМПАНИЯ, ПАО</t>
  </si>
  <si>
    <t>ПАО "ЛИЗИНГОВАЯ КОМПАНИЯ "ЕВРОПЛАН"</t>
  </si>
  <si>
    <t>ЕВРОПЛАН СЕРВИС ООО</t>
  </si>
  <si>
    <t>ООО "ЕВРОПЛАН СЕРВИС"</t>
  </si>
  <si>
    <t>ЕвроХим – Усольский калийный комбинат ООО</t>
  </si>
  <si>
    <t>ООО "ЕвроХим – Усольский калийный комбинат"</t>
  </si>
  <si>
    <t>ЕвроХим-ВолгаКалий ООО</t>
  </si>
  <si>
    <t>ООО "ЕвроХим-ВолгаКалий"</t>
  </si>
  <si>
    <t>ЕвроХим-Энерго, ООО</t>
  </si>
  <si>
    <t>ООО "ЕвроХим-Энерго"</t>
  </si>
  <si>
    <t>Егоров Сергей Викторович ИП</t>
  </si>
  <si>
    <t>ИП Егоров Сергей Викторович</t>
  </si>
  <si>
    <t>ЖелДорЭкспедиция ООО</t>
  </si>
  <si>
    <t>ЖЕЛЕЗО Торговая Компания ООО</t>
  </si>
  <si>
    <t>Завод Нестандартного Оборудования ООО</t>
  </si>
  <si>
    <t>ООО "Завод Нестандартного Оборудования"</t>
  </si>
  <si>
    <t>Замилов Марсель Масгутович ИП</t>
  </si>
  <si>
    <t>ИП Замилов Марсель Масгутович</t>
  </si>
  <si>
    <t>ЗАРАЙСКИЙ ЭЛЕКТРОТЕХНИЧЕСКИЙ ЗАВОД, ООО</t>
  </si>
  <si>
    <t>ООО "ЗАРАЙСКИЙ ЭЛЕКТРОТЕХНИЧЕСКИЙ ЗАВОД"</t>
  </si>
  <si>
    <t>Зарипов Марат Фоатович ИП</t>
  </si>
  <si>
    <t>ИП Зарипов Марат Фоатович</t>
  </si>
  <si>
    <t>Здоровье семьи  М , ООО</t>
  </si>
  <si>
    <t>ЗИК ООО</t>
  </si>
  <si>
    <t>ООО "ЗИК"</t>
  </si>
  <si>
    <t>Золотая шильда, ООО</t>
  </si>
  <si>
    <t>Иванова Ирина Ивановна</t>
  </si>
  <si>
    <t>Измайлов Федор Алексеевич</t>
  </si>
  <si>
    <t>Ильина Юлия Радиковна ИП</t>
  </si>
  <si>
    <t xml:space="preserve">ИП Ильина Юлия Радиковна </t>
  </si>
  <si>
    <t>ИМПУЛЬС СВЕТА, ООО</t>
  </si>
  <si>
    <t>ООО "ИМПУЛЬС СВЕТА"</t>
  </si>
  <si>
    <t>ИНЖАВТОМАТИКАСЕРВИС, ООО</t>
  </si>
  <si>
    <t>ООО "ИНЖАВТОМАТИКАСЕРВИС"</t>
  </si>
  <si>
    <t>ИНСПЕКТРА ЗАО</t>
  </si>
  <si>
    <t>ЗАО "ИНСПЕКТРА"</t>
  </si>
  <si>
    <t xml:space="preserve">Инструмент и метизы ТД ООО </t>
  </si>
  <si>
    <t>ООО ТД «Инструмент и метизы»</t>
  </si>
  <si>
    <t>ИнТЕГ ООО</t>
  </si>
  <si>
    <t>ООО "ИнТЕГ"</t>
  </si>
  <si>
    <t>Интеграл Автоматика, ООО</t>
  </si>
  <si>
    <t>Интернет Трэвел ООО</t>
  </si>
  <si>
    <t>ООО "Интернет Трэвел"</t>
  </si>
  <si>
    <t xml:space="preserve">Интерсварка, ООО </t>
  </si>
  <si>
    <t>ООО "Интерсварка"</t>
  </si>
  <si>
    <t xml:space="preserve">Кабельная арматура ООО </t>
  </si>
  <si>
    <t>ООО "Кабельная арматура"</t>
  </si>
  <si>
    <t>Казанский национальный исследовательский технический университет им. А.Н. Туполева-КАИ, ФГБОУ ВО</t>
  </si>
  <si>
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</si>
  <si>
    <t>Казань-Восток-Сервис, ООО</t>
  </si>
  <si>
    <t>Казначеев Виктор Юрьевич, ИП</t>
  </si>
  <si>
    <t>ИП Казначеев Виктор Юрьевич</t>
  </si>
  <si>
    <t>КАМА ГК ООО</t>
  </si>
  <si>
    <t>Камоцци Пневматика ООО</t>
  </si>
  <si>
    <t>ООО "Камоцци Пневматика"</t>
  </si>
  <si>
    <t>КАМСКИЙ КРЕПЕЖ,  ООО</t>
  </si>
  <si>
    <t>КИП-Сервис, ООО</t>
  </si>
  <si>
    <t xml:space="preserve">Кипаком ООО </t>
  </si>
  <si>
    <t>ООО «Кипаком»</t>
  </si>
  <si>
    <t>КИПКомлект ООО</t>
  </si>
  <si>
    <t>ООО "КИПКомлект"</t>
  </si>
  <si>
    <t>Клинкманн СПб, АО</t>
  </si>
  <si>
    <t>Компания Оргтехника и сервис, ООО</t>
  </si>
  <si>
    <t>Компания Скиф-Карго, ООО</t>
  </si>
  <si>
    <t>ООО "Компания Скиф-Карго"</t>
  </si>
  <si>
    <t>КОМУС ООО</t>
  </si>
  <si>
    <t>ООО "КОМУС"</t>
  </si>
  <si>
    <t xml:space="preserve">Конвейерная техника, ООО </t>
  </si>
  <si>
    <t>ООО "Конвейерная техника"</t>
  </si>
  <si>
    <t>КОНФЛАЙ ООО</t>
  </si>
  <si>
    <t>ООО "КОНФЛАЙ"</t>
  </si>
  <si>
    <t>КОНЦЕПТ, ООО</t>
  </si>
  <si>
    <t>ООО "КОНЦЕПТ"</t>
  </si>
  <si>
    <t xml:space="preserve">Коржаченко Екатерина Николаевна ИП </t>
  </si>
  <si>
    <t>Корнева Елена Сергеевна</t>
  </si>
  <si>
    <t>Король Олег Николаевич ИП</t>
  </si>
  <si>
    <t>ИП Король Олег Николаевич</t>
  </si>
  <si>
    <t>Кочетова Оксана Геннадьевна ИП</t>
  </si>
  <si>
    <t>КРАНЭЛЕКТРО, ООО</t>
  </si>
  <si>
    <t>ООО "КРАНЭЛЕКТРО"</t>
  </si>
  <si>
    <t>Криос, НПП ООО</t>
  </si>
  <si>
    <t>КРУГ НПФ, ООО</t>
  </si>
  <si>
    <t>Кубанькар, ООО</t>
  </si>
  <si>
    <t>Кудрявцев Олег Владимирович  ИП</t>
  </si>
  <si>
    <t>Кузнецова Ирина Юрьевна</t>
  </si>
  <si>
    <t>КУПИБИЛЕТ, ООО</t>
  </si>
  <si>
    <t>ООО "КУПИБИЛЕТ"</t>
  </si>
  <si>
    <t>ООО "КЭР-Инжиниринг"</t>
  </si>
  <si>
    <t>Лайт Комплект, ООО</t>
  </si>
  <si>
    <t>ООО "Лайт Комплект"</t>
  </si>
  <si>
    <t>Леруа Мерлен Восток ООО</t>
  </si>
  <si>
    <t>Лимпопо, ООО</t>
  </si>
  <si>
    <t>ООО "Лимпопо"</t>
  </si>
  <si>
    <t>Лобова Евгения Игоревна</t>
  </si>
  <si>
    <t>Лунда, ООО</t>
  </si>
  <si>
    <t>Манотомь ОАО</t>
  </si>
  <si>
    <t>МегаВатт ООО</t>
  </si>
  <si>
    <t>ООО "МегаВатт"</t>
  </si>
  <si>
    <t>Мерцалова Татьяна Алексеевна</t>
  </si>
  <si>
    <t>Метран ПГ,АО</t>
  </si>
  <si>
    <t>АО "ПГ "Метран"</t>
  </si>
  <si>
    <t>МЕТТРАНСТЕРМИНАЛ ООО</t>
  </si>
  <si>
    <t>ООО "МЕТТРАНСТЕРМИНАЛ"</t>
  </si>
  <si>
    <t>ООО "НТЦ "Механотроника"</t>
  </si>
  <si>
    <t>ИП Минзарипов Радик Вазыхович</t>
  </si>
  <si>
    <t>Монторем ООО</t>
  </si>
  <si>
    <t>ООО "Монторем"</t>
  </si>
  <si>
    <t>Мотрум, ООО</t>
  </si>
  <si>
    <t>ООО "Мотрум"</t>
  </si>
  <si>
    <t>МСТ ООО</t>
  </si>
  <si>
    <t>ООО "МСТ"</t>
  </si>
  <si>
    <t>Назипова Аделя Ильдусовна ИП</t>
  </si>
  <si>
    <t>ИП Назипова Аделя Ильдусовна</t>
  </si>
  <si>
    <t>НевРСС ООО</t>
  </si>
  <si>
    <t>ООО "Невинномысск-Ремстройсервис"</t>
  </si>
  <si>
    <t>НЕФТЕГАЗ АВТОМАТИКА ООО</t>
  </si>
  <si>
    <t>ООО "НЕФТЕГАЗ АВТОМАТИКА"</t>
  </si>
  <si>
    <t>НЗКА, ООО</t>
  </si>
  <si>
    <t>ООО "НЗКА"</t>
  </si>
  <si>
    <t>Ниеншанц-Автоматика,  ООО</t>
  </si>
  <si>
    <t>Николаева Л.С. ИП</t>
  </si>
  <si>
    <t>Индивидуальный предприниматель Николаева Любовь Сергеевна</t>
  </si>
  <si>
    <t>Новосибирская Метизная Компания ООО</t>
  </si>
  <si>
    <t>ООО "Новосибирская Метизная Компания"</t>
  </si>
  <si>
    <t>Новые Технологии, ООО</t>
  </si>
  <si>
    <t>ООО "Новые Технологии"</t>
  </si>
  <si>
    <t>НОРДГРОН ООО</t>
  </si>
  <si>
    <t>ООО "НОРДГРОН"</t>
  </si>
  <si>
    <t xml:space="preserve">Нотариус Зяббарова Алсу Азатовна </t>
  </si>
  <si>
    <t>НТЗВ Торговый Дом, ООО</t>
  </si>
  <si>
    <t>ООО "Торговый Дом НТЗВ"</t>
  </si>
  <si>
    <t>НТЦ СГЭП, ООО</t>
  </si>
  <si>
    <t>ОГПО Ассоциация</t>
  </si>
  <si>
    <t>Ассоциация "ОГПО"</t>
  </si>
  <si>
    <t>Одинцовская Кабельная Компания, ООО (ООО "ОКК")</t>
  </si>
  <si>
    <t>ООО "Одинцовская Кабельная Компания"</t>
  </si>
  <si>
    <t xml:space="preserve">Октава ОКБ АО </t>
  </si>
  <si>
    <t>АО "ОКБ "Октава"</t>
  </si>
  <si>
    <t xml:space="preserve">Олимп ТД ООО </t>
  </si>
  <si>
    <t>ООО ТД "Олимп"</t>
  </si>
  <si>
    <t>ОЛИМП ТЭК, ООО</t>
  </si>
  <si>
    <t>ООО "ТЭК "ОЛИМП"</t>
  </si>
  <si>
    <t>Онлайн Трейд ООО</t>
  </si>
  <si>
    <t>ООО "Онлайн Трейд"</t>
  </si>
  <si>
    <t xml:space="preserve">Орион ООО </t>
  </si>
  <si>
    <t>Орион, ООО</t>
  </si>
  <si>
    <t>Основание ООО</t>
  </si>
  <si>
    <t>ООО "Основание"</t>
  </si>
  <si>
    <t>ОСОТ ассоциация</t>
  </si>
  <si>
    <t>Офисные Системы ООО</t>
  </si>
  <si>
    <t>ООО "Офисные Системы"</t>
  </si>
  <si>
    <t>ОЦТПК, АНО ДПО (АНО ДПО "Образовательный центр технической подготовки кадров")</t>
  </si>
  <si>
    <t>АНО ДПО "ОЦТПК"</t>
  </si>
  <si>
    <t>Панков Алексей Велиевич ИП</t>
  </si>
  <si>
    <t>Индивидуальный предприниматель Панков Алексей Велиевич</t>
  </si>
  <si>
    <t>Панфилова Лидия Михайловна</t>
  </si>
  <si>
    <t>Параллакс Поволжье ООО</t>
  </si>
  <si>
    <t>ООО "Параллакс Поволжье"</t>
  </si>
  <si>
    <t>ПермПромСервис ТД, ООО</t>
  </si>
  <si>
    <t>ООО "ТД"ППС"</t>
  </si>
  <si>
    <t>Петросян Карен Спартакович,ИП</t>
  </si>
  <si>
    <t>ИП Петросян Карен Спартакович</t>
  </si>
  <si>
    <t>ПИНАМ ООО</t>
  </si>
  <si>
    <t>ПНЕВМОКОНТ, ООО</t>
  </si>
  <si>
    <t>ПневмоЭлектроСервис, ООО</t>
  </si>
  <si>
    <t>ПОЛИГОН, ООО</t>
  </si>
  <si>
    <t>ООО "ПОЛИГОН"</t>
  </si>
  <si>
    <t>Почта Банк Публичное акционерное общество</t>
  </si>
  <si>
    <t>Публичное акционерное общество «Почта Банк»</t>
  </si>
  <si>
    <t>Прибор ООО</t>
  </si>
  <si>
    <t>ООО "Прибор"</t>
  </si>
  <si>
    <t>ПроАСУТП ООО</t>
  </si>
  <si>
    <t>ООО "ПроАСУТП"</t>
  </si>
  <si>
    <t>Прома НПП ООО</t>
  </si>
  <si>
    <t>ООО "НПП "Прома"</t>
  </si>
  <si>
    <t>Промавтоматика НПО ООО</t>
  </si>
  <si>
    <t>ООО "НПО "Промавтоматика"</t>
  </si>
  <si>
    <t>Промавтоматика ООО</t>
  </si>
  <si>
    <t>Промсвязьбанк ПАО</t>
  </si>
  <si>
    <t>ПРОМТЕХ ООО</t>
  </si>
  <si>
    <t>ООО "ПРОМТЕХ"</t>
  </si>
  <si>
    <t>Промэнерго Автоматика, ООО</t>
  </si>
  <si>
    <t>Протон-Импульс, ЗАО</t>
  </si>
  <si>
    <t>ПЭК, ООО</t>
  </si>
  <si>
    <t>РАДЭЛ, ООО</t>
  </si>
  <si>
    <t>РЕГИОН-ПРОФ, ООО</t>
  </si>
  <si>
    <t>Реле и Автоматика. ООО</t>
  </si>
  <si>
    <t>РЕСО-Гарантия СПАО</t>
  </si>
  <si>
    <t>СПАО "РЕСО-Гарантия"</t>
  </si>
  <si>
    <t xml:space="preserve">РИЗУР НПО,ООО </t>
  </si>
  <si>
    <t>Ринком кабельные системы, ООО</t>
  </si>
  <si>
    <t>ООО "Кабельные системы Ринком"</t>
  </si>
  <si>
    <t>РСТ-ЭНЕРГО, ООО</t>
  </si>
  <si>
    <t>РУСАВТОМАТИЗАЦИЯ, ООО</t>
  </si>
  <si>
    <t>ООО "РУСАВТОМАТИЗАЦИЯ"</t>
  </si>
  <si>
    <t>Русский контракт ООО</t>
  </si>
  <si>
    <t>ООО "Русский контракт"</t>
  </si>
  <si>
    <t>РусТрестЭнерго ООО</t>
  </si>
  <si>
    <t>ООО "РусТрестЭнерго"</t>
  </si>
  <si>
    <t xml:space="preserve">ИП Саетова Римма Порфирьевна </t>
  </si>
  <si>
    <t>Саранский приборостроительный завод ПАО</t>
  </si>
  <si>
    <t>ПАО "Саранский приборостроительный завод"</t>
  </si>
  <si>
    <t>Сарансккабель-Оптика, ООО</t>
  </si>
  <si>
    <t>ООО "Сарансккабель-Оптика"</t>
  </si>
  <si>
    <t>СБЕРБАНК ПАО</t>
  </si>
  <si>
    <t>ПАО "Сбербанк"</t>
  </si>
  <si>
    <t>СБТ, ПРОИЗВОДСТВЕННО-ИНЖИНИРИНГОВАЯ КОМПАНИЯ ООО</t>
  </si>
  <si>
    <t>Свияга Загородный клуб, АО</t>
  </si>
  <si>
    <t>Акционерное общество "Загородный клуб "Свияга"</t>
  </si>
  <si>
    <t>Север Минералс АО</t>
  </si>
  <si>
    <t>АО "Север Минералс"</t>
  </si>
  <si>
    <t>Северная ТК, ООО</t>
  </si>
  <si>
    <t>ООО "ТК Северная"</t>
  </si>
  <si>
    <t>Седлецкий Владимир Станиславович ИП</t>
  </si>
  <si>
    <t>ИП Седлецкий Владимир Станиславович</t>
  </si>
  <si>
    <t>СервисПлюс ООО</t>
  </si>
  <si>
    <t>ООО "СервисПлюс"</t>
  </si>
  <si>
    <t>Сибтрэн ООО</t>
  </si>
  <si>
    <t>СибЭнергоГруп ООО</t>
  </si>
  <si>
    <t>ООО "СибЭнергоГруп"</t>
  </si>
  <si>
    <t>Системный софт ООО</t>
  </si>
  <si>
    <t>ООО "Системный софт"</t>
  </si>
  <si>
    <t>Системы безопасности и связи ООО</t>
  </si>
  <si>
    <t>ООО "Системы безопасности и связи"</t>
  </si>
  <si>
    <t>Скартел ООО</t>
  </si>
  <si>
    <t>ООО "Скартел"</t>
  </si>
  <si>
    <t>СКС ООО (СТРУКТУРИРОВАННЫЕ КАБЕЛЬНЫЕ СЕТИ)</t>
  </si>
  <si>
    <t>ООО "СКС"</t>
  </si>
  <si>
    <t>Снопов Андрей Владимирович</t>
  </si>
  <si>
    <t>Соверен, ООО</t>
  </si>
  <si>
    <t>ООО "Соверен"</t>
  </si>
  <si>
    <t>СОВКОМБАНК ПАО ФИЛИАЛ "Центральный"</t>
  </si>
  <si>
    <t>ФИЛИАЛ "ЦЕНТРАЛЬНЫЙ "ПАО "СОВКОМБАНК"</t>
  </si>
  <si>
    <t>Спутник-2 ООО</t>
  </si>
  <si>
    <t>ООО "Спутник-2"</t>
  </si>
  <si>
    <t>Старцева Светлана Владимировна ИП</t>
  </si>
  <si>
    <t>Стройсервис ООО</t>
  </si>
  <si>
    <t>ООО "Стройсервис"</t>
  </si>
  <si>
    <t>ИП Сулейманов Ильнар Фаргатович</t>
  </si>
  <si>
    <t>Суслина Таисия Константиновна</t>
  </si>
  <si>
    <t>СУЭР ООО</t>
  </si>
  <si>
    <t>ООО "СУЭР"</t>
  </si>
  <si>
    <t>СЭМ-Плюс ООО</t>
  </si>
  <si>
    <t>ООО "СпецЭлектроМонтаж-Плюс"</t>
  </si>
  <si>
    <t>Таврида Электрик СПб, ООО</t>
  </si>
  <si>
    <t>ООО «ТЭ СПб»</t>
  </si>
  <si>
    <t>Индивидуальный предприниматель Тазиев Марат Нафисович</t>
  </si>
  <si>
    <t>ТАНАР Медицинский центр, ООО</t>
  </si>
  <si>
    <t>ТАТ-ЮГ,ООО</t>
  </si>
  <si>
    <t>ТЕКО, НПК АО</t>
  </si>
  <si>
    <t>АО НПК "ТЕКО"</t>
  </si>
  <si>
    <t>ТЕСЕЙ ПК, ООО</t>
  </si>
  <si>
    <t>Тесли АО</t>
  </si>
  <si>
    <t>АО "Тесли"</t>
  </si>
  <si>
    <t>Техноавиа Фирма, ООО</t>
  </si>
  <si>
    <t>ООО "Фирма "Техноавиа"</t>
  </si>
  <si>
    <t>ТЕХНОАВИА-КАЗАНЬ ООО</t>
  </si>
  <si>
    <t>ООО "ТЕХНОАВИА-КАЗАНЬ"</t>
  </si>
  <si>
    <t>ТИГРА ИСК ООО</t>
  </si>
  <si>
    <t>ООО "ИСК "ТИГРА"</t>
  </si>
  <si>
    <t>Титков Сергей Александрович, ИП</t>
  </si>
  <si>
    <t>ИП Титков Сергей Александрович</t>
  </si>
  <si>
    <t>ТКС,АО (АО "ТРАНСКЛАСССЕРВИС")</t>
  </si>
  <si>
    <t>АО "ТКС"</t>
  </si>
  <si>
    <t>Торнадо Модульные Системы ООО</t>
  </si>
  <si>
    <t>ООО "Модульные Системы Торнадо"</t>
  </si>
  <si>
    <t>ТОЧПРИБОР, ООО</t>
  </si>
  <si>
    <t>ТРАНССВЯЗЬ ООО</t>
  </si>
  <si>
    <t>ООО "ТРАНССВЯЗЬ"</t>
  </si>
  <si>
    <t>ТрансТехСервис УК, ООО</t>
  </si>
  <si>
    <t>ООО "УК "ТРАНСТЕХСЕРВИС"</t>
  </si>
  <si>
    <t>ТРЭИ, АО</t>
  </si>
  <si>
    <t>УК МК, ООО</t>
  </si>
  <si>
    <t>ООО "УК МК"</t>
  </si>
  <si>
    <t xml:space="preserve">ИП Унгурян Елена Анатольевна </t>
  </si>
  <si>
    <t>Уралпромдеталь ООО</t>
  </si>
  <si>
    <t>ООО "Уралпромдеталь"</t>
  </si>
  <si>
    <t xml:space="preserve">Уфимкабель, ООО </t>
  </si>
  <si>
    <t>ООО "Уфимкабель"</t>
  </si>
  <si>
    <t>УФК по Иркутской области (МОСП по ИОИП УФССП России по Иркутской области л/с 05341839170)</t>
  </si>
  <si>
    <t>УФК по Республике Татарстан (ОСП №3 Г. НАБЕРЕЖНЫЕ ЧЕЛНЫ УФССП РОССИИ ПО РЕСПУБЛИКЕ ТАТАРСТАН (Л/С 05111А53750)</t>
  </si>
  <si>
    <t>УФК по Томской области (ИФНС России по Томску)</t>
  </si>
  <si>
    <t>УФК по Тульской области (Приокское управление Федеральной службы по экологическому, технологическому и атомному надзору, л/сч.04661А18260)</t>
  </si>
  <si>
    <t>УФПС "Татарстан почтасы"-филиал ФГУП "Почта России"</t>
  </si>
  <si>
    <t>Фасхутдинова Ляйсан Робесовна ИП</t>
  </si>
  <si>
    <t>ИП Фасхутдинова Ляйсан Робесовна</t>
  </si>
  <si>
    <t>ФГУП "Почта России"</t>
  </si>
  <si>
    <t>Феникс Контакт Рус, ООО</t>
  </si>
  <si>
    <t>ФЕСТО-РФ ООО</t>
  </si>
  <si>
    <t>ООО "ФЕСТО-РФ"</t>
  </si>
  <si>
    <t>Флюид Систем Технолоджиз Рус, ООО</t>
  </si>
  <si>
    <t>ООО "ФСТ Рус"</t>
  </si>
  <si>
    <t>ФЭСТ ГРУПП, ООО</t>
  </si>
  <si>
    <t>ООО "ФЭСТ ГРУПП"</t>
  </si>
  <si>
    <t>Харисов Айрат Магсумзянович ИП</t>
  </si>
  <si>
    <t>Индивидуальный предприниматель Харисов Айрат Магсумзянович</t>
  </si>
  <si>
    <t>Хибатуллин Ренат Юлаевич, ИП</t>
  </si>
  <si>
    <t>ИП Хибатуллин Ренат Юлаевич</t>
  </si>
  <si>
    <t>Хилти Дистрибьюшн ЛТД, АО</t>
  </si>
  <si>
    <t>Холдинг Кабельный Альянс, ООО</t>
  </si>
  <si>
    <t>ООО "Холдинг Кабельный Альянс"</t>
  </si>
  <si>
    <t>Царькова Галина Васильевна</t>
  </si>
  <si>
    <t>Центр Измерительной Техники, ООО</t>
  </si>
  <si>
    <t>ООО "Центр Измерительной Техники"</t>
  </si>
  <si>
    <t>Центр спецодежды, ООО</t>
  </si>
  <si>
    <t>ООО "Центр спецодежды"</t>
  </si>
  <si>
    <t>ЦЕНТРПРОМСНАБ, ООО</t>
  </si>
  <si>
    <t>ООО "ЦЕНТРПРОМСНАБ"</t>
  </si>
  <si>
    <t>ЦМ, ООО</t>
  </si>
  <si>
    <t>ООО "ЦМ"</t>
  </si>
  <si>
    <t>ЦТМ-Проф ООО</t>
  </si>
  <si>
    <t>ООО "ЦТМ-Проф"</t>
  </si>
  <si>
    <t>Чебоксарский электроаппаратный завод, АО</t>
  </si>
  <si>
    <t>АО "Чебоксарский электроаппаратный завод"</t>
  </si>
  <si>
    <t xml:space="preserve">ЧИП и ДИП ЗАО </t>
  </si>
  <si>
    <t>Чуфырев Дмитрий Михайлович ИП</t>
  </si>
  <si>
    <t xml:space="preserve">ИП Чуфырев Дмитрий Михайлович </t>
  </si>
  <si>
    <t>ЧЭТЗ (Чебоксарский электротехн.завод) ООО</t>
  </si>
  <si>
    <t>ООО "ЧЭТЗ"</t>
  </si>
  <si>
    <t>Шайхутдинов Тимур Наилевич ИП</t>
  </si>
  <si>
    <t>ИП Шайхутдинов Тимур Наилевич</t>
  </si>
  <si>
    <t>ЭКС ЛЕГЕ ЮА, ООО</t>
  </si>
  <si>
    <t>ООО "ЮА "ЭКС ЛЕГЕ"</t>
  </si>
  <si>
    <t>Эксперт-Инжиниринг, ООО</t>
  </si>
  <si>
    <t>ООО "Эксперт-Инжиниринг"</t>
  </si>
  <si>
    <t>Электра ИСК ООО</t>
  </si>
  <si>
    <t>ООО ИСК "Электра"</t>
  </si>
  <si>
    <t xml:space="preserve">Электро-Профи, ООО </t>
  </si>
  <si>
    <t>ООО "Электро-Профи"</t>
  </si>
  <si>
    <t>ЭЛЕКТРОКИП ООО</t>
  </si>
  <si>
    <t>ООО "ЭЛЕКТРОКИП"</t>
  </si>
  <si>
    <t>ЭЛЕКТРОНИКА И СВЯЗЬ, компания ООО</t>
  </si>
  <si>
    <t>Электронные торговые системы, АО</t>
  </si>
  <si>
    <t>Электропроект, ООО</t>
  </si>
  <si>
    <t xml:space="preserve">ЭЛЕКТРОПРОМСБЫТ, ООО </t>
  </si>
  <si>
    <t>ЭЛЕКТРОСПЕЦКОМПЛЕКТ, ООО</t>
  </si>
  <si>
    <t>ЭЛЕКТРОЩИТ ООО</t>
  </si>
  <si>
    <t>ООО "ЭЛЕКТРОЩИТ"</t>
  </si>
  <si>
    <t>Элемент НПЦ ООО</t>
  </si>
  <si>
    <t>ЭЛПРО, ООО</t>
  </si>
  <si>
    <t>ООО "ЭЛПРО"</t>
  </si>
  <si>
    <t>ЭЛСИБ НПО ПАО</t>
  </si>
  <si>
    <t>Научно-производственное объединение "ЭЛСИБ" публичное акционерное общество</t>
  </si>
  <si>
    <t>Эндресс+Хаузер, ООО</t>
  </si>
  <si>
    <t>ООО "Эндресс+Хаузер"</t>
  </si>
  <si>
    <t>Энергия ТЭК, ООО</t>
  </si>
  <si>
    <t>ООО ТЭК "Энергия"</t>
  </si>
  <si>
    <t>Энерго-Теплоконтроль, ООО</t>
  </si>
  <si>
    <t>Энергомет, ООО</t>
  </si>
  <si>
    <t>ООО "Энергомет"</t>
  </si>
  <si>
    <t>Энергоремонт, ООО</t>
  </si>
  <si>
    <t>ООО "Энергоремонт"</t>
  </si>
  <si>
    <t>ЭНЕРГОСТАНДАРТ ООО</t>
  </si>
  <si>
    <t>ООО "ЭНЕРГОСТАНДАРТ"</t>
  </si>
  <si>
    <t xml:space="preserve">Энергоучет, ООО </t>
  </si>
  <si>
    <t>ООО "Энергоучет"</t>
  </si>
  <si>
    <t>ЭР-Телеком Холдинг АО</t>
  </si>
  <si>
    <t>Эталон НПК, ЗАО</t>
  </si>
  <si>
    <t>ЗАО НПК "Эталон"</t>
  </si>
  <si>
    <t>ЭТАЛОНПРИБОР ООО</t>
  </si>
  <si>
    <t>ЮНИТ МАРК ПРО, ООО</t>
  </si>
  <si>
    <t>ООО "ЮНИТ МАРК ПРО"</t>
  </si>
  <si>
    <t>Юхимчук Сергей Анатольевич, ИП</t>
  </si>
  <si>
    <t>ИП Юхимчук Сергей Анатольевич"</t>
  </si>
  <si>
    <t>Авиакомпания УРАЛЬСКИЕ АВИАЛИНИИ</t>
  </si>
  <si>
    <t>АзияЭнергоАвтоматика ТОО</t>
  </si>
  <si>
    <t xml:space="preserve">ТОО "АзияЭнергоАвтоматика" </t>
  </si>
  <si>
    <t xml:space="preserve">ПАО "АК БАРС" БАНК  </t>
  </si>
  <si>
    <t>Ассоциация ОГПО</t>
  </si>
  <si>
    <t>Взлет ТД, ООО</t>
  </si>
  <si>
    <t>ООО "ТД "Взлет"</t>
  </si>
  <si>
    <t>Воронов Анатолий Николаевич</t>
  </si>
  <si>
    <t>ГАУЗ "Республиканская клиническая психиатрическая больница им.акад. В.М. Бехтерева Министерства здравоохранения РТ"</t>
  </si>
  <si>
    <t>ГНД Набережночелнинский наркологический диспансер фил-л ГАУЗ "Республиканский наркологический диспансер МЗ РТ"</t>
  </si>
  <si>
    <t>ООО "Страховая компания "Гранта"</t>
  </si>
  <si>
    <t xml:space="preserve">Дарвиш Самер Юсеф Мустафа ИП </t>
  </si>
  <si>
    <t>Девон-Кредит АБ ПАО</t>
  </si>
  <si>
    <t xml:space="preserve">АБ "Девог-Кредит" (ПАО)  </t>
  </si>
  <si>
    <t>Деловой центр Челны ООО</t>
  </si>
  <si>
    <t>ООО "Деловой центр "Челны"</t>
  </si>
  <si>
    <t>ДокДок Территория Здоровья, ООО</t>
  </si>
  <si>
    <t>ООО "ДокДок Территория Здоровья"</t>
  </si>
  <si>
    <t>Звезда-Эксперт ООО</t>
  </si>
  <si>
    <t>Инженерсервис, ООО</t>
  </si>
  <si>
    <t>ООО "Инженерсервис"</t>
  </si>
  <si>
    <t>ИнСАТ, ООО</t>
  </si>
  <si>
    <t>Кабаков Иван Игоревич, ИП</t>
  </si>
  <si>
    <t>ИП Кабаков Иван Игоревич</t>
  </si>
  <si>
    <t>ОБЩЕСТВО С ОГРАНИЧЕННОЙ ОТВЕТСТВЕННОСТЬЮ ТРАНСПОРТНАЯ КОМПАНИЯ "КАШАЛОТ"</t>
  </si>
  <si>
    <t>Корсаков Сергей Евгеньевич ИП</t>
  </si>
  <si>
    <t xml:space="preserve">ИП Корсаков Сергей Евгеньевич </t>
  </si>
  <si>
    <t xml:space="preserve">ИП Кочетова Оксана Геннадьевна </t>
  </si>
  <si>
    <t>Кузнецов Евгений Дмитриевич</t>
  </si>
  <si>
    <t>КурьерСервис Казань ООО</t>
  </si>
  <si>
    <t>ООО "КурьерСервис Казань"</t>
  </si>
  <si>
    <t>Лукоморье Санаторий-профилакторий АО</t>
  </si>
  <si>
    <t>АО "Санаторий-профилакторий "Лукоморье"</t>
  </si>
  <si>
    <t>Минзарипов Радик Вазыхович, ИП</t>
  </si>
  <si>
    <t>Мотыгуллин Айдар Рашитович ИП</t>
  </si>
  <si>
    <t>ОКТОБЛУ, ООО</t>
  </si>
  <si>
    <t>ООО "ОКТОБЛУ"</t>
  </si>
  <si>
    <t>ОРГРЭС Фирма ООО</t>
  </si>
  <si>
    <t>ООО "Фирма ОРГРЭС"</t>
  </si>
  <si>
    <t>ОСОТ Ассоциация</t>
  </si>
  <si>
    <t>Палитра ЛТД ТД ООО</t>
  </si>
  <si>
    <t>ООО "Торговый дом "Палитра ЛТД"</t>
  </si>
  <si>
    <t>Почта России</t>
  </si>
  <si>
    <t>УФПС "Татарстан почтасы" - филиал ФГУП "Почта России"</t>
  </si>
  <si>
    <t>ООО "ППР"</t>
  </si>
  <si>
    <t>Престиж-Мебель ООО</t>
  </si>
  <si>
    <t>ООО "Престиж-Мебель"</t>
  </si>
  <si>
    <t>Приборы и системы, СКБ ООО</t>
  </si>
  <si>
    <t>ООО СКБ "Приборы и системы"</t>
  </si>
  <si>
    <t xml:space="preserve">ПРОМПРИБОР, ООО </t>
  </si>
  <si>
    <t>ПАО "Промсвязьбанк"</t>
  </si>
  <si>
    <t xml:space="preserve">Автономная некоммерческая организация дополнительного профессионального образования «ПрофБизнесСтандарт» </t>
  </si>
  <si>
    <t>ПЭК-Евразия, ООО</t>
  </si>
  <si>
    <t>ООО "ПЭК-Евразия"</t>
  </si>
  <si>
    <t>ООО "ПЭК"</t>
  </si>
  <si>
    <t>РЖД ООО</t>
  </si>
  <si>
    <t>РТС-тендер, ООО</t>
  </si>
  <si>
    <t xml:space="preserve">Сбербанк страхование жизни СК, ООО </t>
  </si>
  <si>
    <t>ООО СК "Сбербанк страхование жизни"</t>
  </si>
  <si>
    <t>Сбербанк страхование СК, ООО</t>
  </si>
  <si>
    <t>ООО СК "Сбербанк страхование"</t>
  </si>
  <si>
    <t>СОЮЗ-ПРИБОР, ООО</t>
  </si>
  <si>
    <t>СПК ООО</t>
  </si>
  <si>
    <t>ООО "Сап Констракшн"</t>
  </si>
  <si>
    <t>Татарстан почтасы УФПС</t>
  </si>
  <si>
    <t>УФПС "Татарстан почтасы"</t>
  </si>
  <si>
    <t>Техник Солюшн, ООО</t>
  </si>
  <si>
    <t>ООО "Техник Солюшн"</t>
  </si>
  <si>
    <t>Техно Снаб 2002 ТОО</t>
  </si>
  <si>
    <t>ТОО "Техно Снаб 2002"</t>
  </si>
  <si>
    <t>ООО «Тонус+»</t>
  </si>
  <si>
    <t>Трансимпериал ООО</t>
  </si>
  <si>
    <t>УРАЛФИНАНССТРОЙ ООО</t>
  </si>
  <si>
    <t>ООО "УРАЛФИНАНССТРОЙ"</t>
  </si>
  <si>
    <t>ФИЛИАЛ "НИЖЕГОРОДСКИЙ" АО "АЛЬФА-БАНК" г. Нижний Новгород</t>
  </si>
  <si>
    <t>Центр Медицинских Справок ООО</t>
  </si>
  <si>
    <t>ООО "Центр Медицинских Справок"</t>
  </si>
  <si>
    <t>ИП Шайхутдинов Тимур Наилевич ИП</t>
  </si>
  <si>
    <t>ЭНЕРГИЯ ООО</t>
  </si>
  <si>
    <t>Энергогарант САК, ПАО Казанский филиал</t>
  </si>
  <si>
    <t xml:space="preserve">ЭР-Телеком Холдинг АО </t>
  </si>
  <si>
    <t>Фирмы</t>
  </si>
  <si>
    <t>URL папки</t>
  </si>
  <si>
    <t>Замена служб сокр. службами</t>
  </si>
  <si>
    <t>Выпадающий список "Размещение"</t>
  </si>
  <si>
    <t>Праздники</t>
  </si>
  <si>
    <t>Офиц. № проекта</t>
  </si>
  <si>
    <t>Сокр. Имя для списка</t>
  </si>
  <si>
    <t>Выпадающий список "Работа"</t>
  </si>
  <si>
    <t>Руководитель проекта</t>
  </si>
  <si>
    <t>Выпадающий список "Вид работ"</t>
  </si>
  <si>
    <t>Участок сборки оборудования</t>
  </si>
  <si>
    <t>Офис</t>
  </si>
  <si>
    <t>Внутренние работы</t>
  </si>
  <si>
    <t>Комплексная работа</t>
  </si>
  <si>
    <t>Данные персонала\КЭР-Автоматика</t>
  </si>
  <si>
    <t>1l6DAnfN-GwGi3nl50QwkvHZbEO2R8zf4</t>
  </si>
  <si>
    <t>Участок по монтажу КИПиА и АСУТП</t>
  </si>
  <si>
    <t>Объект</t>
  </si>
  <si>
    <t>Административные вопросы</t>
  </si>
  <si>
    <t>Техническое задание</t>
  </si>
  <si>
    <t>Данные персонала\УЭС-Автоматика</t>
  </si>
  <si>
    <t>1Lwh2EPl6GwSZ-emOjNfQv5pamjgIMv3r</t>
  </si>
  <si>
    <t>Служба диагностики и технического контроля</t>
  </si>
  <si>
    <t>Дом</t>
  </si>
  <si>
    <t>НИОКР</t>
  </si>
  <si>
    <t>Техническое предложение</t>
  </si>
  <si>
    <t>Данные персонала\КАРНО-Энерго</t>
  </si>
  <si>
    <t>1Nz0u5IbfsxIuuxdNjcV1SVlJq_layt3P</t>
  </si>
  <si>
    <t>Служба наладки и испытаний</t>
  </si>
  <si>
    <t>Отгул</t>
  </si>
  <si>
    <t>ТКП</t>
  </si>
  <si>
    <t>Расчет</t>
  </si>
  <si>
    <t>Департамент\Реестр проектов</t>
  </si>
  <si>
    <t>Служба проектирования и инженерных изысканий</t>
  </si>
  <si>
    <t>Отпуск</t>
  </si>
  <si>
    <t>Сервис</t>
  </si>
  <si>
    <t>Презентация</t>
  </si>
  <si>
    <t>Данные персонала\АЙВИС</t>
  </si>
  <si>
    <t>1LE8X6P3FZAduk-24IS0d_KEraASIhefy</t>
  </si>
  <si>
    <t>Участок по ремонту и техническому обслуживанию КИПиА и АСУТП</t>
  </si>
  <si>
    <t>Больничный</t>
  </si>
  <si>
    <t>Структурная схема</t>
  </si>
  <si>
    <t>ImportExport\Google-&gt;1C\Реестр проектов</t>
  </si>
  <si>
    <t>1uPiBOtOaJqbuM_MNdB6MYVuRlZ0vfNEg</t>
  </si>
  <si>
    <t>Отдел закупок и материально-технического обеспечения</t>
  </si>
  <si>
    <t>Оформление</t>
  </si>
  <si>
    <t>Коммерческая смета</t>
  </si>
  <si>
    <t>Служба программного обеспечения</t>
  </si>
  <si>
    <t>Обучение</t>
  </si>
  <si>
    <t>Анализ/ подготовка данных</t>
  </si>
  <si>
    <t>Служба главных специалистов</t>
  </si>
  <si>
    <t>Текущие работы</t>
  </si>
  <si>
    <t>Бухучет</t>
  </si>
  <si>
    <t>Финансово-аналитический отдел</t>
  </si>
  <si>
    <t>АХО</t>
  </si>
  <si>
    <t>Участок по монтажу электротехнического оборудования</t>
  </si>
  <si>
    <t>Финансы</t>
  </si>
  <si>
    <t>Отдел поддержки программного обеспечения</t>
  </si>
  <si>
    <t>Договора</t>
  </si>
  <si>
    <t>Отдел подготовки технической документации</t>
  </si>
  <si>
    <t>Тендер</t>
  </si>
  <si>
    <t>Маркетинг</t>
  </si>
  <si>
    <t>Проектный офис</t>
  </si>
  <si>
    <t>Служба сервисного обслуживания АСУТП</t>
  </si>
  <si>
    <t>Дежурство на объекте</t>
  </si>
  <si>
    <t>Отдел охраны труда и техники безопасности</t>
  </si>
  <si>
    <t>Ожидание вызова</t>
  </si>
  <si>
    <t>Отдел документационного обеспечения</t>
  </si>
  <si>
    <t>Выделенная работа</t>
  </si>
  <si>
    <t>Отдел информационных технологий</t>
  </si>
  <si>
    <t>Экономист</t>
  </si>
  <si>
    <t>Работа по кадрам</t>
  </si>
  <si>
    <t>Служба метрологического обеспечения</t>
  </si>
  <si>
    <t>Служба МО</t>
  </si>
  <si>
    <t>Работа по ТБ</t>
  </si>
  <si>
    <t>Электротехническая лаборатория</t>
  </si>
  <si>
    <t>Другое</t>
  </si>
  <si>
    <t>Технический отдел</t>
  </si>
  <si>
    <t>ЭГРЭС-1 АСУ ТП топливоподачи</t>
  </si>
  <si>
    <t>Корсаков С.Е.</t>
  </si>
  <si>
    <t>Служба проектирования</t>
  </si>
  <si>
    <t>ГродноТЭЦ-2 АСУ ТП ТГ2</t>
  </si>
  <si>
    <t>Гуляев С.А.</t>
  </si>
  <si>
    <t>НорНикель АСУ ТП КА6шт. ПНР</t>
  </si>
  <si>
    <t>Сергеев А.Н.</t>
  </si>
  <si>
    <t>ЗеленПТС АСУ ТП КА</t>
  </si>
  <si>
    <t>СарТЭЦ АСУ ТП КА9, ГРП-1 Сервис</t>
  </si>
  <si>
    <t>Хомин В.П.</t>
  </si>
  <si>
    <t>АстТЭЦ-2 АСУ ТП ТА6</t>
  </si>
  <si>
    <t>Управление, Технический отдел</t>
  </si>
  <si>
    <t>КрасТЭЦ АСУ ТП ТГ9</t>
  </si>
  <si>
    <t>Воронов А.Н.</t>
  </si>
  <si>
    <t>Сотрудники Казахстан</t>
  </si>
  <si>
    <t>Гвинея АСУ ТП КА4</t>
  </si>
  <si>
    <t>АстТЭЦ-3 АСУ ТП ПК1, ВК1,2,3,4</t>
  </si>
  <si>
    <t>Отдел снабжения</t>
  </si>
  <si>
    <t>Карелия Русский Радиатор АСОДУ</t>
  </si>
  <si>
    <t>Магадан РиМ Поставка КИП</t>
  </si>
  <si>
    <t>Насырзянов Н.И.</t>
  </si>
  <si>
    <t>Воронеж ТЭЦ-2 АСУ ТП КУП-1 ПИР</t>
  </si>
  <si>
    <t>Бирюков А.Ю.</t>
  </si>
  <si>
    <t>НКТЭЦ-2 АСУТП ПТН</t>
  </si>
  <si>
    <t>Семенов В.А.</t>
  </si>
  <si>
    <t>НКГЭС САУ, вибрация ГА 1,2 ПИР</t>
  </si>
  <si>
    <t>Латипов А.А.</t>
  </si>
  <si>
    <t>CарТЭЦ АСУ ТП ТГ9 ПНР</t>
  </si>
  <si>
    <t>ЗГРЭС САУГ Бл2,11 Поставка ШУ</t>
  </si>
  <si>
    <t>Ургалуголь АСУТП котельной</t>
  </si>
  <si>
    <t>СызТЭЦ ПГУ-200 АСУТП Сервис</t>
  </si>
  <si>
    <t>Нигомедзянов В.Р.</t>
  </si>
  <si>
    <t>СарТЭЦ АСУТП Сервис</t>
  </si>
  <si>
    <t>КТЭЦ-1 САР ЧВД</t>
  </si>
  <si>
    <t>Семенов Д.А.</t>
  </si>
  <si>
    <t>ПавТЭЦ-3 Сист. ПРАНА ТГ6</t>
  </si>
  <si>
    <t>Плаксин А.В.</t>
  </si>
  <si>
    <t>ЗГРЭС АСУ Реагентов Поставка ПТК</t>
  </si>
  <si>
    <t>НКТЭЦ-2 ТО (Ремонт)</t>
  </si>
  <si>
    <t>Егоров С.В.</t>
  </si>
  <si>
    <t>Костромская ГРЭС метрология</t>
  </si>
  <si>
    <t>Погодин Д.Д.</t>
  </si>
  <si>
    <t>КТЭЦ-3 САУГ КА4</t>
  </si>
  <si>
    <t>Ковдор ГОК Разработка ТЗ</t>
  </si>
  <si>
    <t>ЗГРЭС Осмос ТО</t>
  </si>
  <si>
    <t>Кареев С.А.</t>
  </si>
  <si>
    <t>НКТЭЦ-2 ИИС КПП</t>
  </si>
  <si>
    <t>НКТЭЦ-2 АСУТП Бойлерная</t>
  </si>
  <si>
    <t>НКНХ ЗИП АСУ ТП  Поставка</t>
  </si>
  <si>
    <t>Нижнекамская БЛ-2,3 оснащение УПАСК на ВЛ</t>
  </si>
  <si>
    <t>Фролов С.А.</t>
  </si>
  <si>
    <t>КТЭЦ-3 Диагностика ЭТО</t>
  </si>
  <si>
    <t>Ануфриев С.Э.</t>
  </si>
  <si>
    <t>НКТЭЦ-2 Диагностика ЭТО</t>
  </si>
  <si>
    <t>КТЭЦ-1 ГТУ-40 ОПРЧ</t>
  </si>
  <si>
    <t>Манин Е.В.</t>
  </si>
  <si>
    <t>НКТЭЦ-1 ИТР ЭТО</t>
  </si>
  <si>
    <t>ЭГРЭС-1 СМиУ ОРУ-500 ПИР</t>
  </si>
  <si>
    <t>НКТЭЦ-2 АСУТП Хим. цеха</t>
  </si>
  <si>
    <t>Благовещенская ТЭЦ САР ТГ3</t>
  </si>
  <si>
    <t>Якищенко А.В.</t>
  </si>
  <si>
    <t>ВтГРЭС Ремонт ПТК</t>
  </si>
  <si>
    <t>ПетТЭЦ-2 АСУТП Сервис</t>
  </si>
  <si>
    <t>Усть-Кам ТЭЦ АСУТП КА14 Сервис</t>
  </si>
  <si>
    <t>Сургут АИИС КУЭ Метрология</t>
  </si>
  <si>
    <t>НКТЭЦ-1 БРОУ ПО</t>
  </si>
  <si>
    <t>Волков Д.Н.</t>
  </si>
  <si>
    <t>НЧТЭЦ Вибрация ПИР</t>
  </si>
  <si>
    <t>Умный дом Рождествено</t>
  </si>
  <si>
    <t>ПетТЭЦ-2 ЦТРП</t>
  </si>
  <si>
    <t>СарТЭЦ Диагностика ТС2</t>
  </si>
  <si>
    <t>ПавТЭЦ-3 Поверка ПТК</t>
  </si>
  <si>
    <t>ЭГРЭС-1 АСУТП Бл3 Апгрейд</t>
  </si>
  <si>
    <t>Эмирусайинов Р.Б.</t>
  </si>
  <si>
    <t>Самарская ГРЭС Метрология</t>
  </si>
  <si>
    <t>НКТЭЦ-2 Вент ПТН 5</t>
  </si>
  <si>
    <t>КТЭЦ-3 САУГ КА4 Ав. надзор</t>
  </si>
  <si>
    <t>СГК ПредТЭО 3-х объектов</t>
  </si>
  <si>
    <t>Кингисепп РДП ТГ ПНР</t>
  </si>
  <si>
    <t>Гвинея АСУТП Тех. сопровождение</t>
  </si>
  <si>
    <t>Воронеж ТЭЦ-2 АСУ ТП КУП-1 СМР</t>
  </si>
  <si>
    <t>СГК ПредТЭО +2 объекта</t>
  </si>
  <si>
    <t>КБК ЛС СМР</t>
  </si>
  <si>
    <t>Павлодар АСУТП ПНС</t>
  </si>
  <si>
    <t>НКТЭЦ-1 ИИС, САР КА7</t>
  </si>
  <si>
    <t>Бурдин А.С.</t>
  </si>
  <si>
    <t>Чебоксарская ГЭС Метрология</t>
  </si>
  <si>
    <t>Сибур АСУТП УПП №2 ПИР</t>
  </si>
  <si>
    <t>Гвинея КА5 УПП Диагностика</t>
  </si>
  <si>
    <t>Рубцовск АСУТП ЮТС Кор. ПО</t>
  </si>
  <si>
    <t>Воронеж ТЭЦ-1 АСУТП КА16 ПНР</t>
  </si>
  <si>
    <t>Ново-Кем ТЭЦ АСУТП ПТН16 ТО</t>
  </si>
  <si>
    <t>РК Азино АСР ПНР</t>
  </si>
  <si>
    <t>Челябинская ТЭЦ-2 ПНР</t>
  </si>
  <si>
    <t>Актау ТЭЦ-3 Обучение</t>
  </si>
  <si>
    <t>Гайсин Д.А.</t>
  </si>
  <si>
    <t>Резерв</t>
  </si>
  <si>
    <t>Актау ТЭЦ-2 АСУ ТП КА4</t>
  </si>
  <si>
    <t>190. Актау ТЭЦ-2 АСУ ТП КА4</t>
  </si>
  <si>
    <t>КазТЭЦ-3 Диагностика ЭТО /2021</t>
  </si>
  <si>
    <t>214. КазТЭЦ-3 Диагностика ЭТО /2021</t>
  </si>
  <si>
    <t>НкТЭЦ-1 Диагностика ЭТО /2021</t>
  </si>
  <si>
    <t>213. НкТЭЦ-1 Диагностика ЭТО /2021</t>
  </si>
  <si>
    <t>Качканарская ТЭЦ АСУ КА3</t>
  </si>
  <si>
    <t>212. Качканарская ТЭЦ АСУ КА3</t>
  </si>
  <si>
    <t>НКГЭС САУ ГА 5,6 ПИР</t>
  </si>
  <si>
    <t>210. НКГЭС САУ ГА 5,6 ПИР</t>
  </si>
  <si>
    <t>Габдрахманова А.Р.</t>
  </si>
  <si>
    <t>Усолье АСУ Гидрозакл. комплекса</t>
  </si>
  <si>
    <t>209. Усолье АСУ Гидрозакл. комплекса</t>
  </si>
  <si>
    <t>Н. Новгород кт. "Северная" ПИР</t>
  </si>
  <si>
    <t>208. Н. Новгород кт. "Северная" ПИР</t>
  </si>
  <si>
    <t>Манахов А.В.</t>
  </si>
  <si>
    <t>КТЭЦ-3 САУГ КА7</t>
  </si>
  <si>
    <t>207. КТЭЦ-3 САУГ КА7</t>
  </si>
  <si>
    <t>Макин Н.А.</t>
  </si>
  <si>
    <t>Гвинея АСУ Белая фильтрация</t>
  </si>
  <si>
    <t>206. Гвинея АСУ Белая фильтрация</t>
  </si>
  <si>
    <t>НордГолд АСУТП МиниТЭЦ /2020</t>
  </si>
  <si>
    <t>205. НордГолд АСУТП МиниТЭЦ /2020</t>
  </si>
  <si>
    <t>ЕвроХим Белореченск АСДУЭ</t>
  </si>
  <si>
    <t>204. ЕвроХим Белореченск АСДУЭ</t>
  </si>
  <si>
    <t>Самохвалов А.В.</t>
  </si>
  <si>
    <t>Гвинея Выпарная батарея СМР</t>
  </si>
  <si>
    <t>203. Гвинея Выпарная батарея СМР</t>
  </si>
  <si>
    <t>Аксу АСУ ТП котельной</t>
  </si>
  <si>
    <t>272. Аксу АСУ ТП котельной</t>
  </si>
  <si>
    <t>ПавТЭЦ-3 Станц.коорд.</t>
  </si>
  <si>
    <t>270. ПавТЭЦ-3 Станц.коорд.</t>
  </si>
  <si>
    <t>НЛМК Метрология</t>
  </si>
  <si>
    <t>265. НЛМК Метрология</t>
  </si>
  <si>
    <t>Таштагол АСУ ТП ТГ</t>
  </si>
  <si>
    <t>242. Таштагол АСУ ТП ТГ</t>
  </si>
  <si>
    <t>ПавТЭЦ-1 АСУ ТП ПТН</t>
  </si>
  <si>
    <t>240. ПавТЭЦ-1 АСУ ТП ПТН</t>
  </si>
  <si>
    <t>НКГЭС АСДК сервис</t>
  </si>
  <si>
    <t>234. НКГЭС АСДК сервис</t>
  </si>
  <si>
    <t>228. АстТЭЦ-2 АСУ ТП ТА6</t>
  </si>
  <si>
    <t>НкТЭЦ-1 ИИС ПЭН-5</t>
  </si>
  <si>
    <t>202. НкТЭЦ-1 ИИС ПЭН-5</t>
  </si>
  <si>
    <t>Таштагол АСУ ТГ и АССА Сервис</t>
  </si>
  <si>
    <t>201. Таштагол АСУ ТГ и АССА Сервис</t>
  </si>
  <si>
    <t>Новгородская ТЭЦ Промотборы ТГ2</t>
  </si>
  <si>
    <t>199. Новгородская ТЭЦ Промотборы ТГ2</t>
  </si>
  <si>
    <t>Акжал Поставка КИП</t>
  </si>
  <si>
    <t>198. Акжал Поставка КИП</t>
  </si>
  <si>
    <t>Самарская ГРЭС Сервис</t>
  </si>
  <si>
    <t>197. Самарская ГРЭС Сервис</t>
  </si>
  <si>
    <t>Томь-Усинская ГРЭС</t>
  </si>
  <si>
    <t>196. Томь-Усинская ГРЭС</t>
  </si>
  <si>
    <t>КТЭЦ-1 ПГУ</t>
  </si>
  <si>
    <t>195. КТЭЦ-1 ПГУ</t>
  </si>
  <si>
    <t>ЗГРЭС АСУТП, КИП Бл3 Ремонт</t>
  </si>
  <si>
    <t>194. ЗГРЭС АСУТП, КИП Бл3 Ремонт</t>
  </si>
  <si>
    <t>ЭГРЭС-1 АРЧМ</t>
  </si>
  <si>
    <t>193. ЭГРЭС-1 АРЧМ</t>
  </si>
  <si>
    <t>КГКПЗ апгрейд ПО</t>
  </si>
  <si>
    <t>192. КГКПЗ апгрейд ПО</t>
  </si>
  <si>
    <t>Алабуга Девелопмент-4 Вентиляция</t>
  </si>
  <si>
    <t>191. Алабуга Девелопмент-4 Вентиляция</t>
  </si>
  <si>
    <t>Саров сточные воды</t>
  </si>
  <si>
    <t>189. Саров сточные воды</t>
  </si>
  <si>
    <t>Таштагол Метрология</t>
  </si>
  <si>
    <t>188. Таштагол Метрология</t>
  </si>
  <si>
    <t>Актау ТЭЦ-1 АСУ ТП ХВО Сервис</t>
  </si>
  <si>
    <t>187. Актау ТЭЦ-1 АСУ ТП ХВО Сервис</t>
  </si>
  <si>
    <t>КрТЭЦ-2 САР ТГ1</t>
  </si>
  <si>
    <t>186. КрТЭЦ-2 САР ТГ1</t>
  </si>
  <si>
    <t>НкГЭС Интеграция АССК</t>
  </si>
  <si>
    <t>185. НкГЭС Интеграция АССК</t>
  </si>
  <si>
    <t>Волжская ТЭЦ-2 САР ТГ5 ПИР</t>
  </si>
  <si>
    <t>184. Волжская ТЭЦ-2 САР ТГ5 ПИР</t>
  </si>
  <si>
    <t>Евраз НТМК АСУ ГУБТ Поставка</t>
  </si>
  <si>
    <t>183,2. Евраз НТМК АСУ ГУБТ Поставка</t>
  </si>
  <si>
    <t>Евраз НТМК АСУ ГУБТ</t>
  </si>
  <si>
    <t>183. Евраз НТМК АСУ ГУБТ</t>
  </si>
  <si>
    <t>ЭГРЭС-1 АСТУЭ ПИР</t>
  </si>
  <si>
    <t>182. ЭГРЭС-1 АСТУЭ ПИР</t>
  </si>
  <si>
    <t>Шатурская ГРЭС СКУ, САУГ ЭБ1-6 СМР</t>
  </si>
  <si>
    <t>181,1. Шатурская ГРЭС СКУ, САУГ ЭБ1-6 СМР</t>
  </si>
  <si>
    <t>N</t>
  </si>
  <si>
    <t>Шатурская ГРЭС СКУ, САУГ ЭБ1-6</t>
  </si>
  <si>
    <t>181. Шатурская ГРЭС СКУ, САУГ ЭБ1-6</t>
  </si>
  <si>
    <t>НАК Азот Ремонт Электрооборудования</t>
  </si>
  <si>
    <t>180,4. НАК Азот Ремонт Электрооборудования</t>
  </si>
  <si>
    <t>Власов В.А.</t>
  </si>
  <si>
    <t>НАК Азот Ремонт КИПиА</t>
  </si>
  <si>
    <t>180,3. НАК Азот Ремонт КИПиА</t>
  </si>
  <si>
    <t xml:space="preserve">НАК Азот цех Аммиак-3 СМР-2 </t>
  </si>
  <si>
    <t xml:space="preserve">180,2. НАК Азот цех Аммиак-3 СМР-2 </t>
  </si>
  <si>
    <t>НАК Азот цех Аммиак-3 СМР</t>
  </si>
  <si>
    <t>180. НАК Азот цех Аммиак-3 СМР</t>
  </si>
  <si>
    <t>НКГЭС САУ ГА1,2 Ав. надзор</t>
  </si>
  <si>
    <t>179. НКГЭС САУ ГА1,2 Ав. надзор</t>
  </si>
  <si>
    <t>НкТЭЦ-1 НППП КА16</t>
  </si>
  <si>
    <t>178. НкТЭЦ-1 НППП КА16</t>
  </si>
  <si>
    <t>Актау ТЭЦ-1 АСУТП КА4 Сервис</t>
  </si>
  <si>
    <t>177. Актау ТЭЦ-1 АСУТП КА4 Сервис</t>
  </si>
  <si>
    <t>Ковдор ГОК АСУ питателя и грохота МЕТSO Поставка</t>
  </si>
  <si>
    <t>176,4. Ковдор ГОК АСУ питателя и грохота МЕТSO Поставка</t>
  </si>
  <si>
    <t>176,3. Ковдор ГОК АСУ питателя и грохота МЕТSO Поставка</t>
  </si>
  <si>
    <t>Ковдор ГОК АСУ питателя и грохота МЕТSO</t>
  </si>
  <si>
    <t>176,2. Ковдор ГОК АСУ питателя и грохота МЕТSO</t>
  </si>
  <si>
    <t>176,1. Ковдор ГОК АСУ питателя и грохота МЕТSO</t>
  </si>
  <si>
    <t>Ковдор ГОК АСУТП 2-х насосов VASA</t>
  </si>
  <si>
    <t>175,3. Ковдор ГОК АСУТП 2-х насосов VASA</t>
  </si>
  <si>
    <t>Ковдор ГОК АСУТП 2-х насосов VASA СМР, ПНР</t>
  </si>
  <si>
    <t>175,2. Ковдор ГОК АСУТП 2-х насосов VASA СМР, ПНР</t>
  </si>
  <si>
    <t>Ковдор ГОК АСУТП 2-х насосов VASA Поставка</t>
  </si>
  <si>
    <t>175,1. Ковдор ГОК АСУТП 2-х насосов VASA Поставка</t>
  </si>
  <si>
    <t>НкТЭЦ-2 Отборы 3-х ТГ Поставка, ПО</t>
  </si>
  <si>
    <t>174. НкТЭЦ-2 Отборы 3-х ТГ Поставка, ПО</t>
  </si>
  <si>
    <t>НКТЭЦ-2 Диагностика ЭТО /2020</t>
  </si>
  <si>
    <t>173. НКТЭЦ-2 Диагностика ЭТО /2020</t>
  </si>
  <si>
    <t>Полюс Аладан разработка критериев</t>
  </si>
  <si>
    <t>172. Полюс Аладан разработка критериев</t>
  </si>
  <si>
    <t>ЗГРЭС АСУТП ХВО гидразин ПТК</t>
  </si>
  <si>
    <t>171. ЗГРЭС АСУТП ХВО гидразин ПТК</t>
  </si>
  <si>
    <t>Челябинская ТЭЦ-3 ПО SPPA</t>
  </si>
  <si>
    <t>170. Челябинская ТЭЦ-3 ПО SPPA</t>
  </si>
  <si>
    <t>Стерлитамакская ТЭЦ консервация ПИР</t>
  </si>
  <si>
    <t>169. Стерлитамакская ТЭЦ консервация ПИР</t>
  </si>
  <si>
    <t>Гремячинский ГОК ЭТО СМР</t>
  </si>
  <si>
    <t>168. Гремячинский ГОК ЭТО СМР</t>
  </si>
  <si>
    <t>Антонов С.В.</t>
  </si>
  <si>
    <t>Усолье АСУ гидроциклонов</t>
  </si>
  <si>
    <t>166. Усолье АСУ гидроциклонов</t>
  </si>
  <si>
    <t>Химзавод Диагностика ЭТО (ВЛ)</t>
  </si>
  <si>
    <t>165. Химзавод Диагностика ЭТО (ВЛ)</t>
  </si>
  <si>
    <t>Химзавод Диагностика ЭТО (Т)</t>
  </si>
  <si>
    <t>164. Химзавод Диагностика ЭТО (Т)</t>
  </si>
  <si>
    <t>Русал Волгоград АСУТП барабана</t>
  </si>
  <si>
    <t>163. Русал Волгоград АСУТП барабана</t>
  </si>
  <si>
    <t>МЦБК КА5,6 Обновление ПО</t>
  </si>
  <si>
    <t>162. МЦБК КА5,6 Обновление ПО</t>
  </si>
  <si>
    <t>НКГЭС СССМ Ав. надзор</t>
  </si>
  <si>
    <t>161. НКГЭС СССМ Ав. надзор</t>
  </si>
  <si>
    <t>Гремячинский ГОК АСОДУ ПИР</t>
  </si>
  <si>
    <t>160. Гремячинский ГОК АСОДУ ПИР</t>
  </si>
  <si>
    <t>ЭГРЭС АСУТП /2020 Сервис</t>
  </si>
  <si>
    <t>159. ЭГРЭС АСУТП /2020 Сервис</t>
  </si>
  <si>
    <t>Волгоградская ТЭЦ-2 САР ТГ9</t>
  </si>
  <si>
    <t>158,1. Волгоградская ТЭЦ-2 САР ТГ9</t>
  </si>
  <si>
    <t>158. Волгоградская ТЭЦ-2 САР ТГ9</t>
  </si>
  <si>
    <t>НордГолд АСУ ТП МиниТЭЦ</t>
  </si>
  <si>
    <t>157. НордГолд АСУ ТП МиниТЭЦ</t>
  </si>
  <si>
    <t>Ковдор ГОК АСУТП 2-х насосов МЕТSO</t>
  </si>
  <si>
    <t>156,2. Ковдор ГОК АСУТП 2-х насосов МЕТSO</t>
  </si>
  <si>
    <t>156,1. Ковдор ГОК АСУТП 2-х насосов МЕТSO</t>
  </si>
  <si>
    <t>Ковдор ГОК АСУ линия №3 ККД</t>
  </si>
  <si>
    <t>155,2. Ковдор ГОК АСУ линия №3 ККД</t>
  </si>
  <si>
    <t>155,1. Ковдор ГОК АСУ линия №3 ККД</t>
  </si>
  <si>
    <t>Ковдор ГОК АСУТП ТЭЦ ТЭО</t>
  </si>
  <si>
    <t>154. Ковдор ГОК АСУТП ТЭЦ ТЭО</t>
  </si>
  <si>
    <t>НкТЭЦ-1 ШПП КА7 ПИР</t>
  </si>
  <si>
    <t>152. НкТЭЦ-1 ШПП КА7 ПИР</t>
  </si>
  <si>
    <t>ПетТЭЦ-2 АСУТП /2020 Сервис</t>
  </si>
  <si>
    <t>150. ПетТЭЦ-2 АСУТП /2020 Сервис</t>
  </si>
  <si>
    <t>Алабуга Девелопмент-3 СМР ЭС</t>
  </si>
  <si>
    <t>149. Алабуга Девелопмент-3 СМР ЭС</t>
  </si>
  <si>
    <t>ПавТЭЦ-3 Станц. координатор Сервис</t>
  </si>
  <si>
    <t>147. ПавТЭЦ-3 Станц. координатор Сервис</t>
  </si>
  <si>
    <t>ПавТЭЦ-3 Метрология</t>
  </si>
  <si>
    <t>146. ПавТЭЦ-3 Метрология</t>
  </si>
  <si>
    <t>Гвинея КА5 Поставка КИП</t>
  </si>
  <si>
    <t>144. Гвинея КА5 Поставка КИП</t>
  </si>
  <si>
    <t>Проскуряков А.Н.</t>
  </si>
  <si>
    <t>Радиоэлектроника АСУ Сервис</t>
  </si>
  <si>
    <t>143. Радиоэлектроника АСУ Сервис</t>
  </si>
  <si>
    <t>КБК АСУТП КА5 ПИР</t>
  </si>
  <si>
    <t>142. КБК АСУТП КА5 ПИР</t>
  </si>
  <si>
    <t>КМПО АСУТП Котельной</t>
  </si>
  <si>
    <t>141. КМПО АСУТП Котельной</t>
  </si>
  <si>
    <t>ТОФ АСУТП-3 Погрузка</t>
  </si>
  <si>
    <t>140,2. ТОФ АСУТП-3 Погрузка</t>
  </si>
  <si>
    <t>140,1. ТОФ АСУТП-3 Погрузка</t>
  </si>
  <si>
    <t>НкТЭЦ-1 Диагностика ЭТО</t>
  </si>
  <si>
    <t>139. НкТЭЦ-1 Диагностика ЭТО</t>
  </si>
  <si>
    <t>НкТЭЦ-2 Поставка ШУ КПП КА2, БУ-180</t>
  </si>
  <si>
    <t>138. НкТЭЦ-2 Поставка ШУ КПП КА2, БУ-180</t>
  </si>
  <si>
    <t>Сая бетон АСУТП ОПС и ППА</t>
  </si>
  <si>
    <t>137. Сая бетон АСУТП ОПС и ППА</t>
  </si>
  <si>
    <t>Газпром недра Диагностика ЭУ</t>
  </si>
  <si>
    <t>136. Газпром недра Диагностика ЭУ</t>
  </si>
  <si>
    <t>Файрушин Р.Р.</t>
  </si>
  <si>
    <t>НкТЭЦ-2 ТО</t>
  </si>
  <si>
    <t>135. НкТЭЦ-2 ТО</t>
  </si>
  <si>
    <t>НкТЭЦ-1 КПП КА11 ПИР</t>
  </si>
  <si>
    <t>134. НкТЭЦ-1 КПП КА11 ПИР</t>
  </si>
  <si>
    <t>КМПО АСУТП ОСО ГТЭУ</t>
  </si>
  <si>
    <t>133. КМПО АСУТП ОСО ГТЭУ</t>
  </si>
  <si>
    <t>Алабуга Девелопмент Прекурсоры</t>
  </si>
  <si>
    <t>132. Алабуга Девелопмент Прекурсоры</t>
  </si>
  <si>
    <t>НкТЭЦ-2 КИП БРОУ 3-х ТГ ПИР</t>
  </si>
  <si>
    <t>131. НкТЭЦ-2 КИП БРОУ 3-х ТГ ПИР</t>
  </si>
  <si>
    <t>Гарифуллин Р.Р.</t>
  </si>
  <si>
    <t>КазТЭЦ-3 Диагностика ЭТО</t>
  </si>
  <si>
    <t>130. КазТЭЦ-3 Диагностика ЭТО</t>
  </si>
  <si>
    <t>КазТЭЦ-3 ЩПТ</t>
  </si>
  <si>
    <t>129. КазТЭЦ-3 ЩПТ</t>
  </si>
  <si>
    <t>ТОФ АСУТП-2</t>
  </si>
  <si>
    <t>128,2. ТОФ АСУТП-2</t>
  </si>
  <si>
    <t xml:space="preserve">ТОФ АСУТП-2 </t>
  </si>
  <si>
    <t xml:space="preserve">128,1. ТОФ АСУТП-2 </t>
  </si>
  <si>
    <t>Алабуга-Волокно АСУТП линии УВ</t>
  </si>
  <si>
    <t>127. Алабуга-Волокно АСУТП линии УВ</t>
  </si>
  <si>
    <t>Гвинея Ремонт, ПНР УПП КА5</t>
  </si>
  <si>
    <t>126. Гвинея Ремонт, ПНР УПП КА5</t>
  </si>
  <si>
    <t>Нов-Сал ТЭЦ ТП ячеек ЗРУ-110кВ ПИР</t>
  </si>
  <si>
    <t>125. Нов-Сал ТЭЦ ТП ячеек ЗРУ-110кВ ПИР</t>
  </si>
  <si>
    <t>НкТЭЦ-2 КПП КА3 ПИР</t>
  </si>
  <si>
    <t>124. НкТЭЦ-2 КПП КА3 ПИР</t>
  </si>
  <si>
    <t>КазТЭЦ-1 ХОПО УКОВ ПГУ ПИР</t>
  </si>
  <si>
    <t>123. КазТЭЦ-1 ХОПО УКОВ ПГУ ПИР</t>
  </si>
  <si>
    <t>АстТЭЦ-2 АСУТП 3-х ВК</t>
  </si>
  <si>
    <t>122. АстТЭЦ-2 АСУТП 3-х ВК</t>
  </si>
  <si>
    <t>121. Усть-Кам ТЭЦ АСУТП КА14 Сервис</t>
  </si>
  <si>
    <t xml:space="preserve">Сургут ГРЭС-2 ПГУ ИБ </t>
  </si>
  <si>
    <t xml:space="preserve">119. Сургут ГРЭС-2 ПГУ ИБ </t>
  </si>
  <si>
    <t>Хибатуллин А.Н.</t>
  </si>
  <si>
    <t>НкТЭЦ-1 Поставка, ПНР ШУ ХВО</t>
  </si>
  <si>
    <t>118. НкТЭЦ-1 Поставка, ПНР ШУ ХВО</t>
  </si>
  <si>
    <t>117. Челябинская ТЭЦ-2 ПНР</t>
  </si>
  <si>
    <t>ВтГРЭС АСУТП ЭБ 9,10 Сервис</t>
  </si>
  <si>
    <t>116. ВтГРЭС АСУТП ЭБ 9,10 Сервис</t>
  </si>
  <si>
    <t>КТЭЦ-3 АСУТП ТО</t>
  </si>
  <si>
    <t>115. КТЭЦ-3 АСУТП ТО</t>
  </si>
  <si>
    <t>НкТЭЦ-1 АСУТП ТО</t>
  </si>
  <si>
    <t>114. НкТЭЦ-1 АСУТП ТО</t>
  </si>
  <si>
    <t>СызТЭЦ АСУТП КА14 ПО, ПНР</t>
  </si>
  <si>
    <t>112. СызТЭЦ АСУТП КА14 ПО, ПНР</t>
  </si>
  <si>
    <t>Евраз НТМК АСУТП КА19 Модернизация</t>
  </si>
  <si>
    <t>111. Евраз НТМК АСУТП КА19 Модернизация</t>
  </si>
  <si>
    <t>КТЭЦ-1 САР ТГ5 ПИР</t>
  </si>
  <si>
    <t>110. КТЭЦ-1 САР ТГ5 ПИР</t>
  </si>
  <si>
    <t>ЗГРЭС АСУТП Хим Цех ПИР</t>
  </si>
  <si>
    <t>109. ЗГРЭС АСУТП Хим Цех ПИР</t>
  </si>
  <si>
    <t>КрТЭЦ-3 ДПМ ПИР</t>
  </si>
  <si>
    <t>108. КрТЭЦ-3 ДПМ ПИР</t>
  </si>
  <si>
    <t>КрТЭЦ-1 ДПМ ПИР</t>
  </si>
  <si>
    <t>107. КрТЭЦ-1 ДПМ ПИР</t>
  </si>
  <si>
    <t>Роспан АСУТП ГТЭ ПО</t>
  </si>
  <si>
    <t>106. Роспан АСУТП ГТЭ ПО</t>
  </si>
  <si>
    <t>Саров ЧРП КЭН9,10</t>
  </si>
  <si>
    <t>105. Саров ЧРП КЭН9,10</t>
  </si>
  <si>
    <t>Саров АСУТП Сервис</t>
  </si>
  <si>
    <t>104. Саров АСУТП Сервис</t>
  </si>
  <si>
    <t>ЗГРЭС Ремонт</t>
  </si>
  <si>
    <t>103. ЗГРЭС Ремонт</t>
  </si>
  <si>
    <t>102. ЗГРЭС Осмос ТО</t>
  </si>
  <si>
    <t>ПетТЭЦ-2 Модернизация АСУТП КА6</t>
  </si>
  <si>
    <t>101. ПетТЭЦ-2 Модернизация АСУТП КА6</t>
  </si>
  <si>
    <t>Общепроизводственные работы Тех документация</t>
  </si>
  <si>
    <t>100,9. Общепроизводственные работы Тех документация</t>
  </si>
  <si>
    <t xml:space="preserve"> Общепроизводственные работы ПИР, ПО</t>
  </si>
  <si>
    <t>100,8.  Общепроизводственные работы ПИР, ПО</t>
  </si>
  <si>
    <t>Общепроизводственные работы СН</t>
  </si>
  <si>
    <t>100,7. Общепроизводственные работы СН</t>
  </si>
  <si>
    <t>Общепроизводственные работы СМР</t>
  </si>
  <si>
    <t>100,6. Общепроизводственные работы СМР</t>
  </si>
  <si>
    <t>Общепроизводственные работы ГС</t>
  </si>
  <si>
    <t>100,5. Общепроизводственные работы ГС</t>
  </si>
  <si>
    <t>100,4. Общепроизводственные работы Тех документация</t>
  </si>
  <si>
    <t>100,3.  Общепроизводственные работы ПИР, ПО</t>
  </si>
  <si>
    <t>100,2. Общепроизводственные работы СН</t>
  </si>
  <si>
    <t>100,1. Общепроизводственные работы СМР</t>
  </si>
  <si>
    <t>100. Общепроизводственные работы ГС</t>
  </si>
  <si>
    <t>НкТЭЦ-1 ШПП Авт. надзор</t>
  </si>
  <si>
    <t>99,1. НкТЭЦ-1 ШПП Авт. надзор</t>
  </si>
  <si>
    <t>НкТЭЦ-1 ШПП ПИР</t>
  </si>
  <si>
    <t>99. НкТЭЦ-1 ШПП ПИР</t>
  </si>
  <si>
    <t>ПетТЭЦ-2 Антивирусное ПО КА7, ТА4</t>
  </si>
  <si>
    <t>98. ПетТЭЦ-2 Антивирусное ПО КА7, ТА4</t>
  </si>
  <si>
    <t>Иркуткэнерго Техаудит</t>
  </si>
  <si>
    <t>96. Иркуткэнерго Техаудит</t>
  </si>
  <si>
    <t>Безымянская ТЭЦ АСУТП ГРП-2</t>
  </si>
  <si>
    <t>95. Безымянская ТЭЦ АСУТП ГРП-2</t>
  </si>
  <si>
    <t>НкТЭЦ-2 Ремонт</t>
  </si>
  <si>
    <t>93. НкТЭЦ-2 Ремонт</t>
  </si>
  <si>
    <t>НкТЭЦ-2 ОПС, ППА, СВН ТОиР</t>
  </si>
  <si>
    <t>92. НкТЭЦ-2 ОПС, ППА, СВН ТОиР</t>
  </si>
  <si>
    <t>Гвинея АСУ ТП КА5</t>
  </si>
  <si>
    <t>91. Гвинея АСУ ТП КА5</t>
  </si>
  <si>
    <t>НкТЭЦ-2 Поставка датчиков</t>
  </si>
  <si>
    <t>90. НкТЭЦ-2 Поставка датчиков</t>
  </si>
  <si>
    <t>Бойцов Д.Н.</t>
  </si>
  <si>
    <t>ЭГРЭС-1 АРЧМ ПИР</t>
  </si>
  <si>
    <t>87. ЭГРЭС-1 АРЧМ ПИР</t>
  </si>
  <si>
    <t>ОФ Чегдомын АСУТП Модернизация</t>
  </si>
  <si>
    <t>86. ОФ Чегдомын АСУТП Модернизация</t>
  </si>
  <si>
    <t xml:space="preserve">СызТЭЦ ПТК GE Поставка </t>
  </si>
  <si>
    <t xml:space="preserve">85. СызТЭЦ ПТК GE Поставка </t>
  </si>
  <si>
    <t>НкТЭЦ-2 Отборы 3-х ТГ ПИР</t>
  </si>
  <si>
    <t>84. НкТЭЦ-2 Отборы 3-х ТГ ПИР</t>
  </si>
  <si>
    <t>Майкоп Ремонт КА3</t>
  </si>
  <si>
    <t>81. Майкоп Ремонт КА3</t>
  </si>
  <si>
    <t>РК Азино ВК3 ПИР</t>
  </si>
  <si>
    <t>79. РК Азино ВК3 ПИР</t>
  </si>
  <si>
    <t>Квадра АСУТП ПГУ-115 Метрология</t>
  </si>
  <si>
    <t>78. Квадра АСУТП ПГУ-115 Метрология</t>
  </si>
  <si>
    <t>Новосибирская ТЭЦ-5 АСУТП ВК2</t>
  </si>
  <si>
    <t>70,2. Новосибирская ТЭЦ-5 АСУТП ВК2</t>
  </si>
  <si>
    <t>70,1. Новосибирская ТЭЦ-5 АСУТП ВК2</t>
  </si>
  <si>
    <t>Таштагол АССА ТГ</t>
  </si>
  <si>
    <t>66. Таштагол АССА ТГ</t>
  </si>
  <si>
    <t>УфТЭЦ-3 АСУТП ПВМ</t>
  </si>
  <si>
    <t>62. УфТЭЦ-3 АСУТП ПВМ</t>
  </si>
  <si>
    <t>СмГРЭС САУГ Бл2,3 Сервис</t>
  </si>
  <si>
    <t>55. СмГРЭС САУГ Бл2,3 Сервис</t>
  </si>
  <si>
    <t>НКГЭС САУ ГА ТО</t>
  </si>
  <si>
    <t>48. НКГЭС САУ ГА ТО</t>
  </si>
  <si>
    <t>Ковдор ГОК АСОДУ ПИР</t>
  </si>
  <si>
    <t>42. Ковдор ГОК АСОДУ ПИР</t>
  </si>
  <si>
    <t>Ковдор ГОК АСДУЭ ПИР</t>
  </si>
  <si>
    <t>41. Ковдор ГОК АСДУЭ ПИР</t>
  </si>
  <si>
    <t>ТОФ АСУТП</t>
  </si>
  <si>
    <t>30,2. ТОФ АСУТП</t>
  </si>
  <si>
    <t>30,1. ТОФ АСУТП</t>
  </si>
  <si>
    <t>Ковдор ГОК АСУТП МОФ и ДФ ПИР</t>
  </si>
  <si>
    <t>29. Ковдор ГОК АСУТП МОФ и ДФ ПИР</t>
  </si>
  <si>
    <t>ЭГРЭС АСУТП Сервис</t>
  </si>
  <si>
    <t>28. ЭГРЭС АСУТП Сервис</t>
  </si>
  <si>
    <t>Балахна Волга АСУТП ТПН</t>
  </si>
  <si>
    <t>21,2. Балахна Волга АСУТП ТПН</t>
  </si>
  <si>
    <t>21,1. Балахна Волга АСУТП ТПН</t>
  </si>
  <si>
    <t>21. Балахна Волга АСУТП ТПН</t>
  </si>
  <si>
    <t>ЗГРЭС АРЧМ Бл Сервис</t>
  </si>
  <si>
    <t>15. ЗГРЭС АРЧМ Бл Сервис</t>
  </si>
  <si>
    <t>АстТЭЦ-2 АСУТП КА8</t>
  </si>
  <si>
    <t>14. АстТЭЦ-2 АСУТП КА8</t>
  </si>
  <si>
    <t>Аксу ГРЭС ЭБ5</t>
  </si>
  <si>
    <t>12. Аксу ГРЭС ЭБ5</t>
  </si>
  <si>
    <t>11,4. НКТЭЦ-2 АСУТП ПТН</t>
  </si>
  <si>
    <t>11,3. НКТЭЦ-2 АСУТП ПТН</t>
  </si>
  <si>
    <t>Каратау Еврохим АСУТП ЭЦ ПИР</t>
  </si>
  <si>
    <t>9. Каратау Еврохим АСУТП ЭЦ ПИР</t>
  </si>
  <si>
    <t>Тутаев АСУТП ПГЭС</t>
  </si>
  <si>
    <t>5. Тутаев АСУТП ПГЭС</t>
  </si>
  <si>
    <t>Атырау НПЗ АСУТП КА9</t>
  </si>
  <si>
    <t>4. Атырау НПЗ АСУТП КА9</t>
  </si>
  <si>
    <t>НКГЭС АСДК ТО /2022</t>
  </si>
  <si>
    <t>333. НКГЭС АСДК ТО /2022</t>
  </si>
  <si>
    <t>Абдуллин Р.Р.</t>
  </si>
  <si>
    <t>Ковдор ГОК АСУ участок флотации</t>
  </si>
  <si>
    <t>298,1. Ковдор ГОК АСУ участок флотации</t>
  </si>
  <si>
    <t>ТОФ АСУТП-4 Погрузка</t>
  </si>
  <si>
    <t>248,1. ТОФ АСУТП-4 Погрузка</t>
  </si>
  <si>
    <t>ТОФ АСУТП Сервис</t>
  </si>
  <si>
    <t>246,1. ТОФ АСУТП Сервис</t>
  </si>
  <si>
    <t>Ковдор ГОК АСУ БНС</t>
  </si>
  <si>
    <t>332. Ковдор ГОК АСУ БНС</t>
  </si>
  <si>
    <t>НАК-6551 Ремонт</t>
  </si>
  <si>
    <t>331. НАК-6551 Ремонт</t>
  </si>
  <si>
    <t>КрТЭЦ-3 ВХР Поставка</t>
  </si>
  <si>
    <t>330. КрТЭЦ-3 ВХР Поставка</t>
  </si>
  <si>
    <t>НКГЭС САУ ГА ТО /2022</t>
  </si>
  <si>
    <t>329. НКГЭС САУ ГА ТО /2022</t>
  </si>
  <si>
    <t>Глазов САУ ГТУ Модернизация</t>
  </si>
  <si>
    <t>328. Глазов САУ ГТУ Модернизация</t>
  </si>
  <si>
    <t>Новокуйбышевская ТЭЦ-1 СМР</t>
  </si>
  <si>
    <t>327. Новокуйбышевская ТЭЦ-1 СМР</t>
  </si>
  <si>
    <t>ПетТЭЦ-2 АСУТП КА2</t>
  </si>
  <si>
    <t>326. ПетТЭЦ-2 АСУТП КА2</t>
  </si>
  <si>
    <t>НАК Азот Ремонт КИПиА /2022</t>
  </si>
  <si>
    <t>325. НАК Азот Ремонт КИПиА /2022</t>
  </si>
  <si>
    <t>НАК-6393 Углекислота (ТХП)</t>
  </si>
  <si>
    <t>324. НАК-6393 Углекислота (ТХП)</t>
  </si>
  <si>
    <t>Новокуйбышевская ТЭЦ-1 ПИР</t>
  </si>
  <si>
    <t>323. Новокуйбышевская ТЭЦ-1 ПИР</t>
  </si>
  <si>
    <t>СызТЭЦ ПТК Siemens Сервис /2021</t>
  </si>
  <si>
    <t>322. СызТЭЦ ПТК Siemens Сервис /2021</t>
  </si>
  <si>
    <t>НКТЭЦ-2 ТО ЗСУ, АМАКС</t>
  </si>
  <si>
    <t>321. НКТЭЦ-2 ТО ЗСУ, АМАКС</t>
  </si>
  <si>
    <t>НКТЭЦ-2 Диагностика ЭТО /2021</t>
  </si>
  <si>
    <t>320. НКТЭЦ-2 Диагностика ЭТО /2021</t>
  </si>
  <si>
    <t>Услуги по ЭТ испытаниям</t>
  </si>
  <si>
    <t>319. Услуги по ЭТ испытаниям</t>
  </si>
  <si>
    <t>НАК-6428 Углекислота (Ит.)</t>
  </si>
  <si>
    <t>318. НАК-6428 Углекислота (Ит.)</t>
  </si>
  <si>
    <t xml:space="preserve">КазТЭЦ-1 адаптация ПО </t>
  </si>
  <si>
    <t xml:space="preserve">317. КазТЭЦ-1 адаптация ПО </t>
  </si>
  <si>
    <t>БМУ Ретрофит</t>
  </si>
  <si>
    <t>316,1. БМУ Ретрофит</t>
  </si>
  <si>
    <t>316. БМУ Ретрофит</t>
  </si>
  <si>
    <t>НАК-6507 Вытяжки Аммиак-4</t>
  </si>
  <si>
    <t>315. НАК-6507 Вытяжки Аммиак-4</t>
  </si>
  <si>
    <t>НАК-6023 Азотная кислота</t>
  </si>
  <si>
    <t>314. НАК-6023 Азотная кислота</t>
  </si>
  <si>
    <t>НКТЭЦ-1 ИИС, САР КА12</t>
  </si>
  <si>
    <t>313. НКТЭЦ-1 ИИС, САР КА12</t>
  </si>
  <si>
    <t>Челябинская ТЭЦ-2 ОПС услуги</t>
  </si>
  <si>
    <t>312. Челябинская ТЭЦ-2 ОПС услуги</t>
  </si>
  <si>
    <t>Мат модель КрТЭЦ-2, БийскТЭЦ-1</t>
  </si>
  <si>
    <t>311. Мат модель КрТЭЦ-2, БийскТЭЦ-1</t>
  </si>
  <si>
    <t>КазТЭЦ-3 ЩПТ /2021</t>
  </si>
  <si>
    <t>310. КазТЭЦ-3 ЩПТ /2021</t>
  </si>
  <si>
    <t>ЗГРЭС БНС-3 ПИР</t>
  </si>
  <si>
    <t>309. ЗГРЭС БНС-3 ПИР</t>
  </si>
  <si>
    <t>Атырау НПЗ АСУТП КА9 Сервис</t>
  </si>
  <si>
    <t>308. Атырау НПЗ АСУТП КА9 Сервис</t>
  </si>
  <si>
    <t>Уренгой Очистные сооружения</t>
  </si>
  <si>
    <t>306. Уренгой Очистные сооружения</t>
  </si>
  <si>
    <t>НкТЭЦ-1 НППП КА14 ПИР</t>
  </si>
  <si>
    <t>305. НкТЭЦ-1 НППП КА14 ПИР</t>
  </si>
  <si>
    <t>Эфес АСУТП КА4 Сервис</t>
  </si>
  <si>
    <t>304. Эфес АСУТП КА4 Сервис</t>
  </si>
  <si>
    <t>НордГолд АСУТП ТЭЦ /2021</t>
  </si>
  <si>
    <t>303. НордГолд АСУТП ТЭЦ /2021</t>
  </si>
  <si>
    <t>НкТЭЦ-2 Баковое хозяйство</t>
  </si>
  <si>
    <t>302. НкТЭЦ-2 Баковое хозяйство</t>
  </si>
  <si>
    <t>НкТЭЦ-2 ТО АСУТП /2021</t>
  </si>
  <si>
    <t>301. НкТЭЦ-2 ТО АСУТП /2021</t>
  </si>
  <si>
    <t>Аквареагент поставка КИП</t>
  </si>
  <si>
    <t>299. Аквареагент поставка КИП</t>
  </si>
  <si>
    <t>298. Ковдор ГОК АСУ участок флотации</t>
  </si>
  <si>
    <t>НкТЭЦ-1 Калориферы ПИР</t>
  </si>
  <si>
    <t>297. НкТЭЦ-1 Калориферы ПИР</t>
  </si>
  <si>
    <t>ПетТЭЦ-2 Антивирусное ПО КА8, ТА1</t>
  </si>
  <si>
    <t>296. ПетТЭЦ-2 Антивирусное ПО КА8, ТА1</t>
  </si>
  <si>
    <t>Сумин Е.В.</t>
  </si>
  <si>
    <t>Бийская ТЭЦ-1 САР ТГ6</t>
  </si>
  <si>
    <t>295. Бийская ТЭЦ-1 САР ТГ6</t>
  </si>
  <si>
    <t>Актау ТЭЦ-3 Вибробит Апгрейд</t>
  </si>
  <si>
    <t>294. Актау ТЭЦ-3 Вибробит Апгрейд</t>
  </si>
  <si>
    <t>РК Азино Поставка шкафов</t>
  </si>
  <si>
    <t>293. РК Азино Поставка шкафов</t>
  </si>
  <si>
    <t>ПавТЭЦ-3 Антивирусное ПО</t>
  </si>
  <si>
    <t>292. ПавТЭЦ-3 Антивирусное ПО</t>
  </si>
  <si>
    <t>Ижевская ТЭЦ-2 Метрология</t>
  </si>
  <si>
    <t>291. Ижевская ТЭЦ-2 Метрология</t>
  </si>
  <si>
    <t>Тобольская ТЭЦ ТЗ на АСУТП</t>
  </si>
  <si>
    <t>290,1. Тобольская ТЭЦ ТЗ на АСУТП</t>
  </si>
  <si>
    <t>290. Тобольская ТЭЦ ТЗ на АСУТП</t>
  </si>
  <si>
    <t>Актау ТЭЦ-2 АСУТП ТГ9,10 Апгрейт</t>
  </si>
  <si>
    <t>289. Актау ТЭЦ-2 АСУТП ТГ9,10 Апгрейт</t>
  </si>
  <si>
    <t>ЗГРЭС ГРП №3 ПИР</t>
  </si>
  <si>
    <t>288. ЗГРЭС ГРП №3 ПИР</t>
  </si>
  <si>
    <t>ЗГРЭС ГРП №1,2 ПИР</t>
  </si>
  <si>
    <t>287. ЗГРЭС ГРП №1,2 ПИР</t>
  </si>
  <si>
    <t>НкТЭЦ-2 КА3 Поставка ПТК, КИП</t>
  </si>
  <si>
    <t>286. НкТЭЦ-2 КА3 Поставка ПТК, КИП</t>
  </si>
  <si>
    <t>КазТЭЦ-3 Паропровод КА5 ПИР</t>
  </si>
  <si>
    <t>285. КазТЭЦ-3 Паропровод КА5 ПИР</t>
  </si>
  <si>
    <t>КТЭЦ-1 ИИС ТГ-5 Поставка</t>
  </si>
  <si>
    <t>284. КТЭЦ-1 ИИС ТГ-5 Поставка</t>
  </si>
  <si>
    <t>Волгоградская ТЭЦ-2 САР ТГ10</t>
  </si>
  <si>
    <t>283,1. Волгоградская ТЭЦ-2 САР ТГ10</t>
  </si>
  <si>
    <t>283. Волгоградская ТЭЦ-2 САР ТГ10</t>
  </si>
  <si>
    <t>ПавТЭЦ-3 Ст. коорд. Сервис /2021</t>
  </si>
  <si>
    <t>282. ПавТЭЦ-3 Ст. коорд. Сервис /2021</t>
  </si>
  <si>
    <t>ПавТЭЦ-3 Метрология /2021</t>
  </si>
  <si>
    <t>281. ПавТЭЦ-3 Метрология /2021</t>
  </si>
  <si>
    <t>Конаковская ГРЭС БОУ №1-8</t>
  </si>
  <si>
    <t>280,1. Конаковская ГРЭС БОУ №1-8</t>
  </si>
  <si>
    <t>280. Конаковская ГРЭС БОУ №1-8</t>
  </si>
  <si>
    <t>НкТЭЦ-1 ШПП КА7 Поставка, ПО</t>
  </si>
  <si>
    <t>279. НкТЭЦ-1 ШПП КА7 Поставка, ПО</t>
  </si>
  <si>
    <t>ВтГРЭС САУГ КА16 Апгрейд</t>
  </si>
  <si>
    <t>278. ВтГРЭС САУГ КА16 Апгрейд</t>
  </si>
  <si>
    <t>КТЭЦ-1 ППГ ПИР</t>
  </si>
  <si>
    <t>НкТЭЦ-1 КА3 Экраны ПИР</t>
  </si>
  <si>
    <t>275. НкТЭЦ-1 КА3 Экраны ПИР</t>
  </si>
  <si>
    <t>НкТЭЦ-1 КА2 Экраны ПИР</t>
  </si>
  <si>
    <t>274. НкТЭЦ-1 КА2 Экраны ПИР</t>
  </si>
  <si>
    <t>НкТЭЦ-1 ШПП КА7 Ав. надзор</t>
  </si>
  <si>
    <t>271. НкТЭЦ-1 ШПП КА7 Ав. надзор</t>
  </si>
  <si>
    <t>СмолГРЭС САУГ Бл3 Апгрейд</t>
  </si>
  <si>
    <t>269. СмолГРЭС САУГ Бл3 Апгрейд</t>
  </si>
  <si>
    <t>Иркутская ТЭЦ-6 АСУТП ТГ1</t>
  </si>
  <si>
    <t>264. Иркутская ТЭЦ-6 АСУТП ТГ1</t>
  </si>
  <si>
    <t>Рефтинская ГРЭС АСУТП ТО</t>
  </si>
  <si>
    <t>263. Рефтинская ГРЭС АСУТП ТО</t>
  </si>
  <si>
    <t>Уренгой Очистные сооружения ПИР</t>
  </si>
  <si>
    <t>262. Уренгой Очистные сооружения ПИР</t>
  </si>
  <si>
    <t>НкТЭЦ-2 Отборы 3-х ТГ ПНР</t>
  </si>
  <si>
    <t>259,1. НкТЭЦ-2 Отборы 3-х ТГ ПНР</t>
  </si>
  <si>
    <t>259. НкТЭЦ-2 Отборы 3-х ТГ ПНР</t>
  </si>
  <si>
    <t>СызТЭЦ АСУТП Сервис /2021</t>
  </si>
  <si>
    <t>257. СызТЭЦ АСУТП Сервис /2021</t>
  </si>
  <si>
    <t>Камчатские ТЭЦ ОПРЧ ПИР</t>
  </si>
  <si>
    <t>255. Камчатские ТЭЦ ОПРЧ ПИР</t>
  </si>
  <si>
    <t>Савиново КА3</t>
  </si>
  <si>
    <t>254. Савиново КА3</t>
  </si>
  <si>
    <t>МЦБК СРК-2 Апгрейд</t>
  </si>
  <si>
    <t>253. МЦБК СРК-2 Апгрейд</t>
  </si>
  <si>
    <t>Кингисепп РДП ТГ ПНР /2021</t>
  </si>
  <si>
    <t>252. Кингисепп РДП ТГ ПНР /2021</t>
  </si>
  <si>
    <t>Волжская ТЭЦ-1 САР ТГ5</t>
  </si>
  <si>
    <t>250,1. Волжская ТЭЦ-1 САР ТГ5</t>
  </si>
  <si>
    <t>250. Волжская ТЭЦ-1 САР ТГ5</t>
  </si>
  <si>
    <t>Уфа ТЭЦ-2 Диагностика ЭТО</t>
  </si>
  <si>
    <t>249. Уфа ТЭЦ-2 Диагностика ЭТО</t>
  </si>
  <si>
    <t>248. ТОФ АСУТП-4 Погрузка</t>
  </si>
  <si>
    <t>246. ТОФ АСУТП Сервис</t>
  </si>
  <si>
    <t>Актау ТЭЦ-3 АСУТП Бл2 Апгрейт</t>
  </si>
  <si>
    <t>245. Актау ТЭЦ-3 АСУТП Бл2 Апгрейт</t>
  </si>
  <si>
    <t>ЗаиГРЭС Очистные сооружения ПНР</t>
  </si>
  <si>
    <t>244,2. ЗаиГРЭС Очистные сооружения ПНР</t>
  </si>
  <si>
    <t>ЗаиГРЭС Очистные сооружения</t>
  </si>
  <si>
    <t>244. ЗаиГРЭС Очистные сооружения</t>
  </si>
  <si>
    <t>НкТЭЦ-1 АСУТП ТО /2021</t>
  </si>
  <si>
    <t>241. НкТЭЦ-1 АСУТП ТО /2021</t>
  </si>
  <si>
    <t>НкТЭЦ-2 Ремонт /2021</t>
  </si>
  <si>
    <t>239. НкТЭЦ-2 Ремонт /2021</t>
  </si>
  <si>
    <t>НкТЭЦ-2 ТО /2021</t>
  </si>
  <si>
    <t>236. НкТЭЦ-2 ТО /2021</t>
  </si>
  <si>
    <t>Усть-КТЭЦ КА14 Модернизация</t>
  </si>
  <si>
    <t>233. Усть-КТЭЦ КА14 Модернизация</t>
  </si>
  <si>
    <t>Усть-КТЭЦ КА14 Сервис /2021</t>
  </si>
  <si>
    <t>231. Усть-КТЭЦ КА14 Сервис /2021</t>
  </si>
  <si>
    <t>НАК Азот Ретрофит СМР</t>
  </si>
  <si>
    <t>230,1. НАК Азот Ретрофит СМР</t>
  </si>
  <si>
    <t>230. НАК Азот Ретрофит СМР</t>
  </si>
  <si>
    <t>Заинская ГРЭС САУГ Бл9 СМР, ПНР</t>
  </si>
  <si>
    <t>229,2. Заинская ГРЭС САУГ Бл9 СМР, ПНР</t>
  </si>
  <si>
    <t>Заинская ГРЭС САУГ Бл9 Поставка</t>
  </si>
  <si>
    <t>229,1. Заинская ГРЭС САУГ Бл9 Поставка</t>
  </si>
  <si>
    <t>КТЭЦ-1 ИИС ТГ-5 ПИР</t>
  </si>
  <si>
    <t>225. КТЭЦ-1 ИИС ТГ-5 ПИР</t>
  </si>
  <si>
    <t>НЧТЭЦ САУГ КА7 ПНР</t>
  </si>
  <si>
    <t>221,2. НЧТЭЦ САУГ КА7 ПНР</t>
  </si>
  <si>
    <t xml:space="preserve">НЧТЭЦ САУГ КА7 </t>
  </si>
  <si>
    <t xml:space="preserve">221. НЧТЭЦ САУГ КА7 </t>
  </si>
  <si>
    <t>ВтГРЭС АСУТП ЭБ 9,10 Сервис /2021</t>
  </si>
  <si>
    <t>220. ВтГРЭС АСУТП ЭБ 9,10 Сервис /2021</t>
  </si>
  <si>
    <t>НкТЭЦ-2 ОПС ТОиР /2021</t>
  </si>
  <si>
    <t>219. НкТЭЦ-2 ОПС ТОиР /2021</t>
  </si>
  <si>
    <t>Саров АСУТП Сервис /2021</t>
  </si>
  <si>
    <t>218. Саров АСУТП Сервис /2021</t>
  </si>
  <si>
    <t>КТЭЦ-3 АСУТП ТО /2021</t>
  </si>
  <si>
    <t>217. КТЭЦ-3 АСУТП ТО /2021</t>
  </si>
  <si>
    <t>КТЭЦ-1 САР ТГ-5 Поставка</t>
  </si>
  <si>
    <t>215,2. КТЭЦ-1 САР ТГ-5 Поставка</t>
  </si>
  <si>
    <t>КТЭЦ-1 САР ТГ-5 СМР, ПНР</t>
  </si>
  <si>
    <t>215. КТЭЦ-1 САР ТГ-5 СМР, ПНР</t>
  </si>
  <si>
    <t>Унгурян Р.В./Корсаков С.Е.</t>
  </si>
  <si>
    <t>Евраз НТМК АСУ ГУБТ ПО, СМР, ПНР</t>
  </si>
  <si>
    <t>183,3. Евраз НТМК АСУ ГУБТ ПО, СМР, ПНР</t>
  </si>
  <si>
    <t>180,7. НАК Азот Ремонт Электрооборудования</t>
  </si>
  <si>
    <t>180,6. НАК Азот Ремонт КИПиА</t>
  </si>
  <si>
    <t>НАК Азот цех Аммиак-3 СМР-2</t>
  </si>
  <si>
    <t>180,5. НАК Азот цех Аммиак-3 СМР-2</t>
  </si>
  <si>
    <t>145. ГродноТЭЦ-2 АСУ ТП ТГ2</t>
  </si>
  <si>
    <t>НкТЭЦ-1 КПП КА11 Ав. надзор</t>
  </si>
  <si>
    <t>134,1. НкТЭЦ-1 КПП КА11 Ав. надзор</t>
  </si>
  <si>
    <t>128,1. ТОФ АСУТП-2</t>
  </si>
  <si>
    <t>Товары, перепродажа, возврат</t>
  </si>
  <si>
    <t>101,1. Товары, перепродажа, возврат</t>
  </si>
  <si>
    <t>Общепроизводственные работы ПИР, ПО</t>
  </si>
  <si>
    <t>100,8. Общепроизводственные работы ПИР, ПО</t>
  </si>
  <si>
    <t>100,3. Общепроизводственные работы ПИР, ПО</t>
  </si>
  <si>
    <t>Габдрахманов Р.М.</t>
  </si>
  <si>
    <t>3. АстТЭЦ-3 АСУ ТП ПК1, ВК1,2,3,4</t>
  </si>
  <si>
    <t>НАК Азот АПС ТОиР</t>
  </si>
  <si>
    <t>346,1. НАК Азот АПС ТОиР</t>
  </si>
  <si>
    <t>ТГК-16 ТО АСУТП /2022</t>
  </si>
  <si>
    <t>359. ТГК-16 ТО АСУТП /2022</t>
  </si>
  <si>
    <t>НкТЭЦ-2 ТО АСУТП /2022</t>
  </si>
  <si>
    <t>358. НкТЭЦ-2 ТО АСУТП /2022</t>
  </si>
  <si>
    <t>НкТЭЦ-1 ШПП КА15 ПИР</t>
  </si>
  <si>
    <t>357. НкТЭЦ-1 ШПП КА15 ПИР</t>
  </si>
  <si>
    <t>ЗГРЭС Очистные сооружения 2 этап</t>
  </si>
  <si>
    <t>356. ЗГРЭС Очистные сооружения 2 этап</t>
  </si>
  <si>
    <t>КазТЭЦ-3 Диагностика ЭТО /2022</t>
  </si>
  <si>
    <t>355. КазТЭЦ-3 Диагностика ЭТО /2022</t>
  </si>
  <si>
    <t>НАК-6632 КИП</t>
  </si>
  <si>
    <t>354. НАК-6632 КИП</t>
  </si>
  <si>
    <t>176,5. Ковдор ГОК АСУ питателя и грохота МЕТSO</t>
  </si>
  <si>
    <t>НАК-6678 Фаза-ноль</t>
  </si>
  <si>
    <t>353. НАК-6678 Фаза-ноль</t>
  </si>
  <si>
    <t>КТЭЦ-3 Паропровод КА5 Ав. надзор</t>
  </si>
  <si>
    <t>285,1. КТЭЦ-3 Паропровод КА5 Ав. надзор</t>
  </si>
  <si>
    <t>НкТЭЦ-1 КА3 Экраны Ав. надзор</t>
  </si>
  <si>
    <t>275,1. НкТЭЦ-1 КА3 Экраны Ав. надзор</t>
  </si>
  <si>
    <t>НкТЭЦ-1 КА2 Экраны Ав. надзор</t>
  </si>
  <si>
    <t>274,1. НкТЭЦ-1 КА2 Экраны Ав. надзор</t>
  </si>
  <si>
    <t>КТЭЦ-3 САУГ КА7 Ав. надзор</t>
  </si>
  <si>
    <t>207,1. КТЭЦ-3 САУГ КА7 Ав. надзор</t>
  </si>
  <si>
    <t>ПавТЭЦ-3 Ст. коорд. Сервис /2022</t>
  </si>
  <si>
    <t>352. ПавТЭЦ-3 Ст. коорд. Сервис /2022</t>
  </si>
  <si>
    <t>Саров АСУТП КА10 СМР</t>
  </si>
  <si>
    <t>351. Саров АСУТП КА10 СМР</t>
  </si>
  <si>
    <t>Саров АСУТП Сервис /2022</t>
  </si>
  <si>
    <t>350. Саров АСУТП Сервис /2022</t>
  </si>
  <si>
    <t>НКГЭС ГРАРМ ПИР</t>
  </si>
  <si>
    <t>349. НКГЭС ГРАРМ ПИР</t>
  </si>
  <si>
    <t xml:space="preserve">ЗГРЭС САРЧМ Испытания </t>
  </si>
  <si>
    <t xml:space="preserve">348. ЗГРЭС САРЧМ Испытания </t>
  </si>
  <si>
    <t>Азерэнерджи Сервис</t>
  </si>
  <si>
    <t>347. Азерэнерджи Сервис</t>
  </si>
  <si>
    <t>346. НАК Азот АПС ТОиР</t>
  </si>
  <si>
    <t>Актау ТЭЦ-3 ИИС Бл1</t>
  </si>
  <si>
    <t>345. Актау ТЭЦ-3 ИИС Бл1</t>
  </si>
  <si>
    <t>БМУ модернизация АСУТП ЦСМУ-1</t>
  </si>
  <si>
    <t>344. БМУ модернизация АСУТП ЦСМУ-1</t>
  </si>
  <si>
    <t>ПетТЭЦ-2 АСУТП КА2 ПИР</t>
  </si>
  <si>
    <t>343. ПетТЭЦ-2 АСУТП КА2 ПИР</t>
  </si>
  <si>
    <t>АстТЭЦ-2 АСУ ТП I-оч. ПИР</t>
  </si>
  <si>
    <t>342. АстТЭЦ-2 АСУ ТП I-оч. ПИР</t>
  </si>
  <si>
    <t>ЗГРЭС АСУТП Хим цех</t>
  </si>
  <si>
    <t>341. ЗГРЭС АСУТП Хим цех</t>
  </si>
  <si>
    <t>Аксу АРЧМ ПИР</t>
  </si>
  <si>
    <t>340. Аксу АРЧМ ПИР</t>
  </si>
  <si>
    <t>Богословская ТЭЦ САР ТГ7</t>
  </si>
  <si>
    <t>339. Богословская ТЭЦ САР ТГ7</t>
  </si>
  <si>
    <t>ЗГРЭС САРЧМ ТО /2022</t>
  </si>
  <si>
    <t>338. ЗГРЭС САРЧМ ТО /2022</t>
  </si>
  <si>
    <t>НкТЭЦ-2 ТО /2022</t>
  </si>
  <si>
    <t>337. НкТЭЦ-2 ТО /2022</t>
  </si>
  <si>
    <t>НкТЭЦ-2 Ремонт /2022</t>
  </si>
  <si>
    <t>336. НкТЭЦ-2 Ремонт /2022</t>
  </si>
  <si>
    <t>НкТЭЦ-2 ОПС ТОиР /2022</t>
  </si>
  <si>
    <t>335. НкТЭЦ-2 ОПС ТОиР /2022</t>
  </si>
  <si>
    <t>Гродно ТЭЦ-2 ТГ2 Сервис</t>
  </si>
  <si>
    <t>334. Гродно ТЭЦ-2 ТГ2 Сервис</t>
  </si>
  <si>
    <t>264,1. Иркутская ТЭЦ-6 АСУТП ТГ1</t>
  </si>
  <si>
    <t>1BUTSbmUXoeIFqDoW3BTJU4SS9ZYYCapl</t>
  </si>
  <si>
    <t>1GrVD5GTtPNVbxTAzO9C8VyQgrcTG85eibMSDPADKPtk</t>
  </si>
  <si>
    <t>1SlHfTi27CNkJ0wimctBVuXBpLudOLoufLvkjA2egGNo</t>
  </si>
  <si>
    <t>1HbQMbTB8Giy-PPMBhsRPlhNGGscGtk6EEIJL_GBHldk</t>
  </si>
  <si>
    <t>1M6Ugr4bms3ugAwqpqd_s8oA3i7MoNpv0_i7G6DdNydI</t>
  </si>
  <si>
    <t>1SamUrkg_yc8YKYC5vm9ZlqDZbscGYNigusN7BerrIxg</t>
  </si>
  <si>
    <t>1hxRxzMFxXhbo66YOojwXu8Al-gQmzeZR-aMTHTkpulU</t>
  </si>
  <si>
    <t>1yvQiWxIb6kWwBVW73BxeEmG7AHzmUawtXwWkx-EmjYY</t>
  </si>
  <si>
    <t>1kCAOEq-BpSHOn-KjE7cW9wnYoaJgJ0fM7W95RnGbeXs</t>
  </si>
  <si>
    <t>1edafAz_wyH2w0DO_RJHos7DaptCdlr1O</t>
  </si>
  <si>
    <t>1t4x40SOnjgMU59B2f7ejZZudFVfQrpCwFONZVzSMzMs</t>
  </si>
  <si>
    <t>1dcQoBF8L44JnQkz9f8HXmgLJ9sXDzM5uQJkEky42QEM</t>
  </si>
  <si>
    <t>1e2gB9fSliZlWnTYGMgPu0bmQGb1-zagu</t>
  </si>
  <si>
    <t>1_Q61JjBcwccoMPzxjeUG1BTZNqDDGaRZs2uMMOCQVuk</t>
  </si>
  <si>
    <t>1GcoG2OjGZ1Vlu-_jxmptcJJ2H_uZXpmO</t>
  </si>
  <si>
    <t>1mQfOs9umtUhKNX9KN7kxPKn0yve0FZ5SYQyMOn_7nY4</t>
  </si>
  <si>
    <t>13YNarhmp5-93bW5Iu5Yz67O3IkaaudUV5FyynijPrF4</t>
  </si>
  <si>
    <t>1K1dvltbijuH1drTOO4viUFxKXndHH9Rg</t>
  </si>
  <si>
    <t>1wNBNN44qZJcxoGjxukUP45wie_-kA14cbao84Y3HMjA</t>
  </si>
  <si>
    <t>1stRzRu53SukZZ2TAiJGk1xvq4owREt34</t>
  </si>
  <si>
    <t>17Wd7y5B27JAInx4ftsTJBcvvam6AY6gr4iI_tZKRiyo</t>
  </si>
  <si>
    <t>1CWEM9b5chaDOvwnRTyR-jD7hjswpUrIk</t>
  </si>
  <si>
    <t>1knJcvTIu5omO4_7-a6NWFlVnRBhKu6xGwKDziMrjCAI</t>
  </si>
  <si>
    <t>1ECaAo4eWnRFXbZDN9kur2V2MolZDm_hP</t>
  </si>
  <si>
    <t>1kuIpOEXPBGVgsIKJI1NO8scCjTKoY_q5cyfkhbHqXeA</t>
  </si>
  <si>
    <t>1KNwoF2pQmh2VJwiuz0qQb9eoKIbJmbFb</t>
  </si>
  <si>
    <t>16IrW4b9xWx1WMkxiyQ8Z2GMKuiBmB9SyLqaeKsfhp8Y</t>
  </si>
  <si>
    <t>1tNgSFkuDateyUmwjc9jtcDzON6sgciM6gmBIst67ZO4</t>
  </si>
  <si>
    <t>kse.keravt@gmail.com</t>
  </si>
  <si>
    <t>ktunameold</t>
  </si>
  <si>
    <t>ktumailsold</t>
  </si>
  <si>
    <t>ktuname</t>
  </si>
  <si>
    <t>ktumail</t>
  </si>
  <si>
    <t>[20-02-10 19:16:33:724 MSK] zvg.keravt@gmail.com</t>
  </si>
  <si>
    <t>[20-02-10 19:16:34:395 MSK] sme.keravt@gmail.com</t>
  </si>
  <si>
    <t>[20-02-10 19:16:34:396 MSK] ker.shugaevame@gmail.com</t>
  </si>
  <si>
    <t>[20-02-10 19:16:34:397 MSK] moa.keravt@gmail.com</t>
  </si>
  <si>
    <t>[20-02-10 19:16:34:398 MSK] hey.keravt@gmail.com</t>
  </si>
  <si>
    <t>[20-02-10 19:16:34:398 MSK] sam.keravt@gmail.com</t>
  </si>
  <si>
    <t>[20-02-10 19:16:34:399 MSK] bvi.keravt@gmail.com</t>
  </si>
  <si>
    <t>[20-02-10 19:16:34:400 MSK] pva.keravt@gmail.com</t>
  </si>
  <si>
    <t>[20-02-10 19:16:34:401 MSK] asv.keravt@gmail.com</t>
  </si>
  <si>
    <t>[20-02-10 19:16:34:402 MSK] kse.keravt@gmail.com</t>
  </si>
  <si>
    <t>[20-02-10 19:16:34:402 MSK] sergeevan.keravt@gmail.com</t>
  </si>
  <si>
    <t>[20-02-10 19:16:34:403 MSK] nni.keravt@gmail.com</t>
  </si>
  <si>
    <t>[20-02-10 19:16:34:404 MSK] mev.keravt@gmail.com</t>
  </si>
  <si>
    <t>[20-02-10 19:16:34:405 MSK] ioa.keravt@gmail.com</t>
  </si>
  <si>
    <t>[20-02-10 19:16:34:406 MSK] zvg.keravt@gmail.com</t>
  </si>
  <si>
    <t>[20-02-10 19:16:34:406 MSK] sin.keravt@gmail.com</t>
  </si>
  <si>
    <t>[20-02-10 19:16:34:407 MSK] gva.keravt@gmail.com</t>
  </si>
  <si>
    <t>[20-02-10 19:16:34:408 MSK] zdv.keravt@gmail.com</t>
  </si>
  <si>
    <t>[20-02-10 19:16:34:409 MSK] ase.keravt@gmail.com</t>
  </si>
  <si>
    <t>[20-02-10 19:16:34:409 MSK] zsa.keravt@gmail.com</t>
  </si>
  <si>
    <t>[20-02-10 19:16:34:410 MSK] mykalosa.keravt@gmail.com</t>
  </si>
  <si>
    <t>[20-02-10 19:16:34:411 MSK] msp.keravt@gmail.com</t>
  </si>
  <si>
    <t>[20-02-10 19:16:34:412 MSK] bay.keravt@gmail.com</t>
  </si>
  <si>
    <t>[20-02-10 19:16:34:412 MSK] urv.keravt@gmail.com</t>
  </si>
  <si>
    <t>[20-02-10 19:16:34:413 MSK] srt.keravt@gmail.com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</si>
</sst>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7" x14ac:knownFonts="1">
    <font>
      <sz val="10"/>
      <color rgb="FF000000"/>
      <name val="Arial"/>
      <scheme val="minor"/>
    </font>
    <font>
      <sz val="10"/>
      <color rgb="FF98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1"/>
      <color rgb="FF000000"/>
      <name val="Inconsolata"/>
    </font>
    <font>
      <sz val="11"/>
      <color rgb="FF000000"/>
      <name val="Arial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Roboto"/>
    </font>
    <font>
      <sz val="10"/>
      <color rgb="FF222222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/>
    <xf numFmtId="0" fontId="8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0" xfId="0" applyFont="1" applyFill="1" applyAlignme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0" xfId="0" applyFont="1" applyAlignment="1"/>
    <xf numFmtId="0" fontId="6" fillId="0" borderId="0" xfId="0" applyFont="1" applyAlignment="1"/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wrapText="1"/>
    </xf>
    <xf numFmtId="49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left" vertical="top" wrapText="1"/>
    </xf>
    <xf numFmtId="164" fontId="6" fillId="7" borderId="1" xfId="0" applyNumberFormat="1" applyFont="1" applyFill="1" applyBorder="1" applyAlignment="1"/>
    <xf numFmtId="0" fontId="11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49" fontId="6" fillId="7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10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13" fillId="3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13" fillId="3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temp-style" pivot="0" count="2" xr9:uid="{00000000-0011-0000-FFFF-FFFF00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26:N4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tem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P112"/>
  <sheetViews>
    <sheetView workbookViewId="0">
      <pane ySplit="1" topLeftCell="A2" activePane="bottomLeft" state="frozen"/>
      <selection pane="bottomLeft" activeCell="B2" sqref="B2"/>
    </sheetView>
  </sheetViews>
  <sheetFormatPr defaultColWidth="12.6640625" defaultRowHeight="15.75" customHeight="1" x14ac:dyDescent="0.25"/>
  <cols>
    <col min="1" max="1" width="18" customWidth="1"/>
    <col min="2" max="2" width="31.88671875" customWidth="1"/>
    <col min="3" max="3" width="24.77734375" customWidth="1"/>
    <col min="4" max="4" width="15" customWidth="1"/>
    <col min="5" max="5" width="5.21875" customWidth="1"/>
    <col min="6" max="6" width="15.21875" customWidth="1"/>
    <col min="7" max="7" width="27" customWidth="1"/>
    <col min="8" max="8" width="25.44140625" customWidth="1"/>
    <col min="9" max="9" width="15" customWidth="1"/>
    <col min="10" max="10" width="24.88671875" customWidth="1"/>
    <col min="11" max="11" width="17.33203125" customWidth="1"/>
    <col min="12" max="12" width="45.77734375" customWidth="1"/>
    <col min="13" max="13" width="11.77734375" customWidth="1"/>
    <col min="14" max="14" width="19.77734375" customWidth="1"/>
    <col min="15" max="15" width="15" customWidth="1"/>
    <col min="16" max="16" width="18.109375" customWidth="1"/>
  </cols>
  <sheetData>
    <row r="1" spans="1:16" x14ac:dyDescent="0.25">
      <c r="A1" s="6" t="s">
        <v>2</v>
      </c>
      <c r="B1" s="7" t="s">
        <v>3</v>
      </c>
      <c r="C1" s="7" t="s">
        <v>4</v>
      </c>
      <c r="D1" s="6" t="s">
        <v>5</v>
      </c>
      <c r="E1" s="7" t="s">
        <v>6</v>
      </c>
      <c r="F1" s="17" t="s">
        <v>7</v>
      </c>
      <c r="G1" s="4" t="s">
        <v>8</v>
      </c>
      <c r="H1" s="8" t="s">
        <v>9</v>
      </c>
      <c r="I1" s="8" t="s">
        <v>10</v>
      </c>
      <c r="J1" s="9" t="s">
        <v>11</v>
      </c>
      <c r="K1" s="5" t="s">
        <v>12</v>
      </c>
      <c r="L1" s="9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 x14ac:dyDescent="0.25">
      <c r="A2" s="10">
        <v>315</v>
      </c>
      <c r="B2" s="11" t="s">
        <v>18</v>
      </c>
      <c r="C2" s="11" t="s">
        <v>19</v>
      </c>
      <c r="D2" s="11" t="s">
        <v>20</v>
      </c>
      <c r="E2" s="11">
        <v>1</v>
      </c>
      <c r="F2" s="14" t="str">
        <f t="shared" ref="F2:F112" si="0">LEFT(B2,FIND(" ",B2,1)+1)&amp;"."&amp;MID(B2,FIND(" ",B2,FIND(" ",B2,1)+1)+1,1)&amp;"."</f>
        <v>Акмаев Д.Д.</v>
      </c>
      <c r="G2" s="11"/>
      <c r="H2" s="11" t="s">
        <v>21</v>
      </c>
      <c r="I2" s="18" t="s">
        <v>22</v>
      </c>
      <c r="J2" s="11" t="s">
        <v>23</v>
      </c>
      <c r="K2" s="11" t="s">
        <v>24</v>
      </c>
      <c r="L2" s="11" t="s">
        <v>25</v>
      </c>
      <c r="M2" s="11" t="s">
        <v>26</v>
      </c>
      <c r="N2" s="11" t="s">
        <v>27</v>
      </c>
      <c r="O2" s="11"/>
      <c r="P2" s="14"/>
    </row>
    <row r="3" spans="1:16" x14ac:dyDescent="0.25">
      <c r="A3" s="10">
        <v>300</v>
      </c>
      <c r="B3" s="11" t="s">
        <v>28</v>
      </c>
      <c r="C3" s="11" t="s">
        <v>29</v>
      </c>
      <c r="D3" s="11" t="s">
        <v>20</v>
      </c>
      <c r="E3" s="11">
        <v>2</v>
      </c>
      <c r="F3" s="14" t="str">
        <f t="shared" si="0"/>
        <v>Антипова Л.Н.</v>
      </c>
      <c r="G3" s="11" t="s">
        <v>30</v>
      </c>
      <c r="H3" s="11" t="s">
        <v>31</v>
      </c>
      <c r="I3" s="18" t="s">
        <v>32</v>
      </c>
      <c r="J3" s="11" t="s">
        <v>23</v>
      </c>
      <c r="K3" s="11" t="s">
        <v>24</v>
      </c>
      <c r="L3" s="11" t="s">
        <v>33</v>
      </c>
      <c r="M3" s="11" t="s">
        <v>26</v>
      </c>
      <c r="N3" s="11" t="s">
        <v>31</v>
      </c>
      <c r="O3" s="11"/>
      <c r="P3" s="14"/>
    </row>
    <row r="4" spans="1:16" x14ac:dyDescent="0.25">
      <c r="A4" s="10">
        <v>48</v>
      </c>
      <c r="B4" s="11" t="s">
        <v>34</v>
      </c>
      <c r="C4" s="11" t="s">
        <v>35</v>
      </c>
      <c r="D4" s="11" t="s">
        <v>36</v>
      </c>
      <c r="E4" s="11">
        <v>3</v>
      </c>
      <c r="F4" s="14" t="str">
        <f t="shared" si="0"/>
        <v>Ануфриев С.Э.</v>
      </c>
      <c r="G4" s="11" t="s">
        <v>34</v>
      </c>
      <c r="H4" s="11" t="s">
        <v>37</v>
      </c>
      <c r="I4" s="18" t="s">
        <v>38</v>
      </c>
      <c r="J4" s="11" t="s">
        <v>23</v>
      </c>
      <c r="K4" s="11" t="s">
        <v>39</v>
      </c>
      <c r="L4" s="11" t="s">
        <v>40</v>
      </c>
      <c r="M4" s="11" t="s">
        <v>26</v>
      </c>
      <c r="N4" s="11" t="s">
        <v>37</v>
      </c>
      <c r="O4" s="11"/>
      <c r="P4" s="14"/>
    </row>
    <row r="5" spans="1:16" x14ac:dyDescent="0.25">
      <c r="A5" s="10">
        <v>298</v>
      </c>
      <c r="B5" s="11" t="s">
        <v>41</v>
      </c>
      <c r="C5" s="11" t="s">
        <v>29</v>
      </c>
      <c r="D5" s="11" t="s">
        <v>20</v>
      </c>
      <c r="E5" s="11">
        <v>4</v>
      </c>
      <c r="F5" s="14" t="str">
        <f t="shared" si="0"/>
        <v>Бабошкина Т.М.</v>
      </c>
      <c r="G5" s="11" t="s">
        <v>30</v>
      </c>
      <c r="H5" s="11" t="s">
        <v>42</v>
      </c>
      <c r="I5" s="18" t="s">
        <v>43</v>
      </c>
      <c r="J5" s="11" t="s">
        <v>23</v>
      </c>
      <c r="K5" s="11" t="s">
        <v>24</v>
      </c>
      <c r="L5" s="11" t="s">
        <v>44</v>
      </c>
      <c r="M5" s="11" t="s">
        <v>26</v>
      </c>
      <c r="N5" s="11" t="s">
        <v>42</v>
      </c>
      <c r="O5" s="11"/>
      <c r="P5" s="14"/>
    </row>
    <row r="6" spans="1:16" x14ac:dyDescent="0.25">
      <c r="A6" s="10">
        <v>188</v>
      </c>
      <c r="B6" s="11" t="s">
        <v>45</v>
      </c>
      <c r="C6" s="11" t="s">
        <v>46</v>
      </c>
      <c r="D6" s="11" t="s">
        <v>20</v>
      </c>
      <c r="E6" s="11">
        <v>5</v>
      </c>
      <c r="F6" s="14" t="str">
        <f t="shared" si="0"/>
        <v>Белоногов А.Н.</v>
      </c>
      <c r="G6" s="11"/>
      <c r="H6" s="11"/>
      <c r="I6" s="18" t="s">
        <v>47</v>
      </c>
      <c r="J6" s="11" t="s">
        <v>23</v>
      </c>
      <c r="K6" s="11" t="s">
        <v>39</v>
      </c>
      <c r="L6" s="11" t="s">
        <v>48</v>
      </c>
      <c r="M6" s="11" t="s">
        <v>49</v>
      </c>
      <c r="N6" s="11" t="s">
        <v>50</v>
      </c>
      <c r="O6" s="11"/>
      <c r="P6" s="14"/>
    </row>
    <row r="7" spans="1:16" x14ac:dyDescent="0.25">
      <c r="A7" s="10">
        <v>97</v>
      </c>
      <c r="B7" s="11" t="s">
        <v>51</v>
      </c>
      <c r="C7" s="11" t="s">
        <v>52</v>
      </c>
      <c r="D7" s="11" t="s">
        <v>36</v>
      </c>
      <c r="E7" s="11">
        <v>6</v>
      </c>
      <c r="F7" s="14" t="str">
        <f t="shared" si="0"/>
        <v>Бирюков А.Ю.</v>
      </c>
      <c r="G7" s="11" t="s">
        <v>51</v>
      </c>
      <c r="H7" s="11" t="s">
        <v>53</v>
      </c>
      <c r="I7" s="18" t="s">
        <v>54</v>
      </c>
      <c r="J7" s="11" t="s">
        <v>23</v>
      </c>
      <c r="K7" s="11" t="s">
        <v>55</v>
      </c>
      <c r="L7" s="11" t="s">
        <v>56</v>
      </c>
      <c r="M7" s="11" t="s">
        <v>26</v>
      </c>
      <c r="N7" s="11" t="s">
        <v>53</v>
      </c>
      <c r="O7" s="11"/>
      <c r="P7" s="14"/>
    </row>
    <row r="8" spans="1:16" x14ac:dyDescent="0.25">
      <c r="A8" s="10">
        <v>104</v>
      </c>
      <c r="B8" s="11" t="s">
        <v>57</v>
      </c>
      <c r="C8" s="11" t="s">
        <v>58</v>
      </c>
      <c r="D8" s="11" t="s">
        <v>20</v>
      </c>
      <c r="E8" s="11">
        <v>7</v>
      </c>
      <c r="F8" s="14" t="str">
        <f t="shared" si="0"/>
        <v>Бойцов Д.Н.</v>
      </c>
      <c r="G8" s="11" t="s">
        <v>59</v>
      </c>
      <c r="H8" s="11" t="s">
        <v>60</v>
      </c>
      <c r="I8" s="18" t="s">
        <v>61</v>
      </c>
      <c r="J8" s="11" t="s">
        <v>23</v>
      </c>
      <c r="K8" s="11" t="s">
        <v>24</v>
      </c>
      <c r="L8" s="11" t="s">
        <v>62</v>
      </c>
      <c r="M8" s="11" t="s">
        <v>26</v>
      </c>
      <c r="N8" s="11" t="s">
        <v>63</v>
      </c>
      <c r="O8" s="11"/>
      <c r="P8" s="14"/>
    </row>
    <row r="9" spans="1:16" x14ac:dyDescent="0.25">
      <c r="A9" s="10">
        <v>102</v>
      </c>
      <c r="B9" s="11" t="s">
        <v>64</v>
      </c>
      <c r="C9" s="11" t="s">
        <v>58</v>
      </c>
      <c r="D9" s="11" t="s">
        <v>20</v>
      </c>
      <c r="E9" s="11">
        <v>8</v>
      </c>
      <c r="F9" s="14" t="str">
        <f t="shared" si="0"/>
        <v>Бойцова Г.Р.</v>
      </c>
      <c r="G9" s="11" t="s">
        <v>59</v>
      </c>
      <c r="H9" s="11" t="s">
        <v>65</v>
      </c>
      <c r="I9" s="18" t="s">
        <v>66</v>
      </c>
      <c r="J9" s="11" t="s">
        <v>23</v>
      </c>
      <c r="K9" s="11" t="s">
        <v>24</v>
      </c>
      <c r="L9" s="11" t="s">
        <v>67</v>
      </c>
      <c r="M9" s="11" t="s">
        <v>26</v>
      </c>
      <c r="N9" s="11" t="s">
        <v>65</v>
      </c>
      <c r="O9" s="11"/>
      <c r="P9" s="18" t="s">
        <v>68</v>
      </c>
    </row>
    <row r="10" spans="1:16" x14ac:dyDescent="0.25">
      <c r="A10" s="10">
        <v>135</v>
      </c>
      <c r="B10" s="11" t="s">
        <v>69</v>
      </c>
      <c r="C10" s="11" t="s">
        <v>70</v>
      </c>
      <c r="D10" s="11" t="s">
        <v>20</v>
      </c>
      <c r="E10" s="11">
        <v>9</v>
      </c>
      <c r="F10" s="14" t="str">
        <f t="shared" si="0"/>
        <v>Бурдин А.С.</v>
      </c>
      <c r="G10" s="11"/>
      <c r="H10" s="11" t="s">
        <v>71</v>
      </c>
      <c r="I10" s="18" t="s">
        <v>72</v>
      </c>
      <c r="J10" s="11" t="s">
        <v>23</v>
      </c>
      <c r="K10" s="11" t="s">
        <v>73</v>
      </c>
      <c r="L10" s="11" t="s">
        <v>48</v>
      </c>
      <c r="M10" s="11" t="s">
        <v>26</v>
      </c>
      <c r="N10" s="11" t="s">
        <v>71</v>
      </c>
      <c r="O10" s="11"/>
      <c r="P10" s="11"/>
    </row>
    <row r="11" spans="1:16" x14ac:dyDescent="0.25">
      <c r="A11" s="10">
        <v>158</v>
      </c>
      <c r="B11" s="11" t="s">
        <v>74</v>
      </c>
      <c r="C11" s="11" t="s">
        <v>19</v>
      </c>
      <c r="D11" s="11" t="s">
        <v>20</v>
      </c>
      <c r="E11" s="11">
        <v>10</v>
      </c>
      <c r="F11" s="14" t="str">
        <f t="shared" si="0"/>
        <v>Бурунин В.И.</v>
      </c>
      <c r="G11" s="11"/>
      <c r="H11" s="11" t="s">
        <v>75</v>
      </c>
      <c r="I11" s="18" t="s">
        <v>76</v>
      </c>
      <c r="J11" s="11" t="s">
        <v>23</v>
      </c>
      <c r="K11" s="11" t="s">
        <v>55</v>
      </c>
      <c r="L11" s="11" t="s">
        <v>77</v>
      </c>
      <c r="M11" s="11" t="s">
        <v>26</v>
      </c>
      <c r="N11" s="11" t="s">
        <v>75</v>
      </c>
      <c r="O11" s="11"/>
      <c r="P11" s="11"/>
    </row>
    <row r="12" spans="1:16" x14ac:dyDescent="0.25">
      <c r="A12" s="10">
        <v>280</v>
      </c>
      <c r="B12" s="11" t="s">
        <v>78</v>
      </c>
      <c r="C12" s="11" t="s">
        <v>19</v>
      </c>
      <c r="D12" s="11" t="s">
        <v>20</v>
      </c>
      <c r="E12" s="11">
        <v>11</v>
      </c>
      <c r="F12" s="14" t="str">
        <f t="shared" si="0"/>
        <v>Васильев Э.А.</v>
      </c>
      <c r="G12" s="11"/>
      <c r="H12" s="11" t="s">
        <v>79</v>
      </c>
      <c r="I12" s="18" t="s">
        <v>80</v>
      </c>
      <c r="J12" s="11" t="s">
        <v>23</v>
      </c>
      <c r="K12" s="11" t="s">
        <v>55</v>
      </c>
      <c r="L12" s="11" t="s">
        <v>81</v>
      </c>
      <c r="M12" s="11" t="s">
        <v>26</v>
      </c>
      <c r="N12" s="11" t="s">
        <v>79</v>
      </c>
      <c r="O12" s="11"/>
      <c r="P12" s="11"/>
    </row>
    <row r="13" spans="1:16" x14ac:dyDescent="0.25">
      <c r="A13" s="10">
        <v>126</v>
      </c>
      <c r="B13" s="11" t="s">
        <v>82</v>
      </c>
      <c r="C13" s="11" t="s">
        <v>83</v>
      </c>
      <c r="D13" s="11" t="s">
        <v>20</v>
      </c>
      <c r="E13" s="11">
        <v>12</v>
      </c>
      <c r="F13" s="14" t="str">
        <f t="shared" si="0"/>
        <v>Волков Д.Н.</v>
      </c>
      <c r="G13" s="11"/>
      <c r="H13" s="11" t="s">
        <v>84</v>
      </c>
      <c r="I13" s="18" t="s">
        <v>85</v>
      </c>
      <c r="J13" s="11" t="s">
        <v>23</v>
      </c>
      <c r="K13" s="11" t="s">
        <v>55</v>
      </c>
      <c r="L13" s="11" t="s">
        <v>86</v>
      </c>
      <c r="M13" s="11" t="s">
        <v>26</v>
      </c>
      <c r="N13" s="11" t="s">
        <v>84</v>
      </c>
      <c r="O13" s="11"/>
      <c r="P13" s="11"/>
    </row>
    <row r="14" spans="1:16" x14ac:dyDescent="0.25">
      <c r="A14" s="10">
        <v>122</v>
      </c>
      <c r="B14" s="11" t="s">
        <v>87</v>
      </c>
      <c r="C14" s="11" t="s">
        <v>88</v>
      </c>
      <c r="D14" s="11" t="s">
        <v>20</v>
      </c>
      <c r="E14" s="11">
        <v>13</v>
      </c>
      <c r="F14" s="14" t="str">
        <f t="shared" si="0"/>
        <v>Волкова Л.И.</v>
      </c>
      <c r="G14" s="11"/>
      <c r="H14" s="11" t="s">
        <v>89</v>
      </c>
      <c r="I14" s="18" t="s">
        <v>90</v>
      </c>
      <c r="J14" s="11" t="s">
        <v>23</v>
      </c>
      <c r="K14" s="11" t="s">
        <v>55</v>
      </c>
      <c r="L14" s="11" t="s">
        <v>91</v>
      </c>
      <c r="M14" s="11" t="s">
        <v>26</v>
      </c>
      <c r="N14" s="11" t="s">
        <v>89</v>
      </c>
      <c r="O14" s="11"/>
      <c r="P14" s="11"/>
    </row>
    <row r="15" spans="1:16" x14ac:dyDescent="0.25">
      <c r="A15" s="10">
        <v>233</v>
      </c>
      <c r="B15" s="11" t="s">
        <v>92</v>
      </c>
      <c r="C15" s="11" t="s">
        <v>93</v>
      </c>
      <c r="D15" s="11" t="s">
        <v>20</v>
      </c>
      <c r="E15" s="11">
        <v>14</v>
      </c>
      <c r="F15" s="14" t="str">
        <f t="shared" si="0"/>
        <v>Воронов А.А.</v>
      </c>
      <c r="G15" s="11"/>
      <c r="H15" s="11" t="s">
        <v>94</v>
      </c>
      <c r="I15" s="18" t="s">
        <v>95</v>
      </c>
      <c r="J15" s="11" t="s">
        <v>23</v>
      </c>
      <c r="K15" s="11" t="s">
        <v>24</v>
      </c>
      <c r="L15" s="11" t="s">
        <v>96</v>
      </c>
      <c r="M15" s="11" t="s">
        <v>26</v>
      </c>
      <c r="N15" s="11" t="s">
        <v>97</v>
      </c>
      <c r="O15" s="11"/>
      <c r="P15" s="11"/>
    </row>
    <row r="16" spans="1:16" x14ac:dyDescent="0.25">
      <c r="A16" s="10">
        <v>179</v>
      </c>
      <c r="B16" s="11" t="s">
        <v>98</v>
      </c>
      <c r="C16" s="11" t="s">
        <v>29</v>
      </c>
      <c r="D16" s="11" t="s">
        <v>20</v>
      </c>
      <c r="E16" s="11">
        <v>15</v>
      </c>
      <c r="F16" s="14" t="str">
        <f t="shared" si="0"/>
        <v>Ворсина И.А.</v>
      </c>
      <c r="G16" s="11" t="s">
        <v>30</v>
      </c>
      <c r="H16" s="11" t="s">
        <v>99</v>
      </c>
      <c r="I16" s="18" t="s">
        <v>100</v>
      </c>
      <c r="J16" s="11" t="s">
        <v>23</v>
      </c>
      <c r="K16" s="11" t="s">
        <v>24</v>
      </c>
      <c r="L16" s="11" t="s">
        <v>44</v>
      </c>
      <c r="M16" s="11" t="s">
        <v>26</v>
      </c>
      <c r="N16" s="11" t="s">
        <v>99</v>
      </c>
      <c r="O16" s="18" t="s">
        <v>101</v>
      </c>
      <c r="P16" s="18" t="s">
        <v>102</v>
      </c>
    </row>
    <row r="17" spans="1:16" x14ac:dyDescent="0.25">
      <c r="A17" s="10">
        <v>100</v>
      </c>
      <c r="B17" s="11" t="s">
        <v>103</v>
      </c>
      <c r="C17" s="11" t="s">
        <v>19</v>
      </c>
      <c r="D17" s="11" t="s">
        <v>20</v>
      </c>
      <c r="E17" s="11">
        <v>16</v>
      </c>
      <c r="F17" s="14" t="str">
        <f t="shared" si="0"/>
        <v>Гайнутдинов Д.Ф.</v>
      </c>
      <c r="G17" s="11"/>
      <c r="H17" s="11" t="s">
        <v>104</v>
      </c>
      <c r="I17" s="18" t="s">
        <v>105</v>
      </c>
      <c r="J17" s="11" t="s">
        <v>23</v>
      </c>
      <c r="K17" s="11" t="s">
        <v>55</v>
      </c>
      <c r="L17" s="11" t="s">
        <v>106</v>
      </c>
      <c r="M17" s="11" t="s">
        <v>26</v>
      </c>
      <c r="N17" s="11" t="s">
        <v>104</v>
      </c>
      <c r="O17" s="11"/>
      <c r="P17" s="11"/>
    </row>
    <row r="18" spans="1:16" x14ac:dyDescent="0.25">
      <c r="A18" s="10">
        <v>258</v>
      </c>
      <c r="B18" s="11" t="s">
        <v>107</v>
      </c>
      <c r="C18" s="11" t="s">
        <v>108</v>
      </c>
      <c r="D18" s="11" t="s">
        <v>20</v>
      </c>
      <c r="E18" s="11">
        <v>17</v>
      </c>
      <c r="F18" s="14" t="str">
        <f t="shared" si="0"/>
        <v>Галиева К.В.</v>
      </c>
      <c r="G18" s="11" t="s">
        <v>109</v>
      </c>
      <c r="H18" s="11" t="s">
        <v>110</v>
      </c>
      <c r="I18" s="18" t="s">
        <v>111</v>
      </c>
      <c r="J18" s="11" t="s">
        <v>23</v>
      </c>
      <c r="K18" s="11" t="s">
        <v>24</v>
      </c>
      <c r="L18" s="11" t="s">
        <v>112</v>
      </c>
      <c r="M18" s="11" t="s">
        <v>26</v>
      </c>
      <c r="N18" s="11" t="s">
        <v>110</v>
      </c>
      <c r="O18" s="18" t="s">
        <v>111</v>
      </c>
      <c r="P18" s="11"/>
    </row>
    <row r="19" spans="1:16" x14ac:dyDescent="0.25">
      <c r="A19" s="10">
        <v>74</v>
      </c>
      <c r="B19" s="11" t="s">
        <v>113</v>
      </c>
      <c r="C19" s="11" t="s">
        <v>70</v>
      </c>
      <c r="D19" s="11" t="s">
        <v>20</v>
      </c>
      <c r="E19" s="11">
        <v>18</v>
      </c>
      <c r="F19" s="14" t="str">
        <f t="shared" si="0"/>
        <v>Галимуллин Р.Ш.</v>
      </c>
      <c r="G19" s="11"/>
      <c r="H19" s="11" t="s">
        <v>114</v>
      </c>
      <c r="I19" s="18" t="s">
        <v>115</v>
      </c>
      <c r="J19" s="11" t="s">
        <v>23</v>
      </c>
      <c r="K19" s="11" t="s">
        <v>24</v>
      </c>
      <c r="L19" s="11" t="s">
        <v>48</v>
      </c>
      <c r="M19" s="11" t="s">
        <v>26</v>
      </c>
      <c r="N19" s="11" t="s">
        <v>114</v>
      </c>
      <c r="O19" s="11"/>
      <c r="P19" s="11"/>
    </row>
    <row r="20" spans="1:16" x14ac:dyDescent="0.25">
      <c r="A20" s="10">
        <v>195</v>
      </c>
      <c r="B20" s="11" t="s">
        <v>116</v>
      </c>
      <c r="C20" s="11" t="s">
        <v>46</v>
      </c>
      <c r="D20" s="11" t="s">
        <v>20</v>
      </c>
      <c r="E20" s="11">
        <v>19</v>
      </c>
      <c r="F20" s="14" t="str">
        <f t="shared" si="0"/>
        <v>Галиуллин Х.Х.</v>
      </c>
      <c r="G20" s="11"/>
      <c r="H20" s="11"/>
      <c r="I20" s="11"/>
      <c r="J20" s="11" t="s">
        <v>23</v>
      </c>
      <c r="K20" s="11" t="s">
        <v>39</v>
      </c>
      <c r="L20" s="11" t="s">
        <v>117</v>
      </c>
      <c r="M20" s="11" t="s">
        <v>26</v>
      </c>
      <c r="N20" s="11" t="s">
        <v>118</v>
      </c>
      <c r="O20" s="18" t="s">
        <v>119</v>
      </c>
      <c r="P20" s="11"/>
    </row>
    <row r="21" spans="1:16" x14ac:dyDescent="0.25">
      <c r="A21" s="10">
        <v>218</v>
      </c>
      <c r="B21" s="11" t="s">
        <v>120</v>
      </c>
      <c r="C21" s="11" t="s">
        <v>52</v>
      </c>
      <c r="D21" s="11" t="s">
        <v>20</v>
      </c>
      <c r="E21" s="11">
        <v>20</v>
      </c>
      <c r="F21" s="14" t="str">
        <f t="shared" si="0"/>
        <v>Гарифуллин Р.Р.</v>
      </c>
      <c r="G21" s="11" t="s">
        <v>51</v>
      </c>
      <c r="H21" s="11" t="s">
        <v>121</v>
      </c>
      <c r="I21" s="18" t="s">
        <v>122</v>
      </c>
      <c r="J21" s="11" t="s">
        <v>23</v>
      </c>
      <c r="K21" s="11" t="s">
        <v>55</v>
      </c>
      <c r="L21" s="11" t="s">
        <v>123</v>
      </c>
      <c r="M21" s="11" t="s">
        <v>26</v>
      </c>
      <c r="N21" s="11" t="s">
        <v>124</v>
      </c>
      <c r="O21" s="11"/>
      <c r="P21" s="11"/>
    </row>
    <row r="22" spans="1:16" x14ac:dyDescent="0.25">
      <c r="A22" s="10">
        <v>133</v>
      </c>
      <c r="B22" s="11" t="s">
        <v>125</v>
      </c>
      <c r="C22" s="11" t="s">
        <v>29</v>
      </c>
      <c r="D22" s="11" t="s">
        <v>20</v>
      </c>
      <c r="E22" s="11">
        <v>21</v>
      </c>
      <c r="F22" s="14" t="str">
        <f t="shared" si="0"/>
        <v>Гафурова О.В.</v>
      </c>
      <c r="G22" s="11" t="s">
        <v>30</v>
      </c>
      <c r="H22" s="11" t="s">
        <v>126</v>
      </c>
      <c r="I22" s="18" t="s">
        <v>127</v>
      </c>
      <c r="J22" s="11" t="s">
        <v>23</v>
      </c>
      <c r="K22" s="11" t="s">
        <v>24</v>
      </c>
      <c r="L22" s="11" t="s">
        <v>44</v>
      </c>
      <c r="M22" s="11" t="s">
        <v>26</v>
      </c>
      <c r="N22" s="11" t="s">
        <v>126</v>
      </c>
      <c r="O22" s="11"/>
      <c r="P22" s="18" t="s">
        <v>102</v>
      </c>
    </row>
    <row r="23" spans="1:16" x14ac:dyDescent="0.25">
      <c r="A23" s="10">
        <v>147</v>
      </c>
      <c r="B23" s="11" t="s">
        <v>128</v>
      </c>
      <c r="C23" s="11" t="s">
        <v>58</v>
      </c>
      <c r="D23" s="11" t="s">
        <v>20</v>
      </c>
      <c r="E23" s="11">
        <v>22</v>
      </c>
      <c r="F23" s="14" t="str">
        <f t="shared" si="0"/>
        <v>Гильфанов Р.Х.</v>
      </c>
      <c r="G23" s="11" t="s">
        <v>59</v>
      </c>
      <c r="H23" s="11"/>
      <c r="I23" s="18" t="s">
        <v>129</v>
      </c>
      <c r="J23" s="11" t="s">
        <v>23</v>
      </c>
      <c r="K23" s="11" t="s">
        <v>24</v>
      </c>
      <c r="L23" s="11" t="s">
        <v>130</v>
      </c>
      <c r="M23" s="11" t="s">
        <v>26</v>
      </c>
      <c r="N23" s="11" t="s">
        <v>131</v>
      </c>
      <c r="O23" s="18" t="s">
        <v>132</v>
      </c>
      <c r="P23" s="11"/>
    </row>
    <row r="24" spans="1:16" x14ac:dyDescent="0.25">
      <c r="A24" s="10">
        <v>189</v>
      </c>
      <c r="B24" s="11" t="s">
        <v>133</v>
      </c>
      <c r="C24" s="11" t="s">
        <v>46</v>
      </c>
      <c r="D24" s="11" t="s">
        <v>20</v>
      </c>
      <c r="E24" s="11">
        <v>23</v>
      </c>
      <c r="F24" s="14" t="str">
        <f t="shared" si="0"/>
        <v>Гоголева И.Х.</v>
      </c>
      <c r="G24" s="11"/>
      <c r="H24" s="11"/>
      <c r="I24" s="18" t="s">
        <v>134</v>
      </c>
      <c r="J24" s="11" t="s">
        <v>23</v>
      </c>
      <c r="K24" s="11" t="s">
        <v>39</v>
      </c>
      <c r="L24" s="11" t="s">
        <v>135</v>
      </c>
      <c r="M24" s="11" t="s">
        <v>26</v>
      </c>
      <c r="N24" s="11" t="s">
        <v>136</v>
      </c>
      <c r="O24" s="11"/>
      <c r="P24" s="11"/>
    </row>
    <row r="25" spans="1:16" x14ac:dyDescent="0.25">
      <c r="A25" s="10">
        <v>252</v>
      </c>
      <c r="B25" s="11" t="s">
        <v>137</v>
      </c>
      <c r="C25" s="11" t="s">
        <v>52</v>
      </c>
      <c r="D25" s="11" t="s">
        <v>20</v>
      </c>
      <c r="E25" s="11">
        <v>24</v>
      </c>
      <c r="F25" s="14" t="str">
        <f t="shared" si="0"/>
        <v>Григорьева Е.С.</v>
      </c>
      <c r="G25" s="11" t="s">
        <v>51</v>
      </c>
      <c r="H25" s="11" t="s">
        <v>138</v>
      </c>
      <c r="I25" s="18" t="s">
        <v>139</v>
      </c>
      <c r="J25" s="11" t="s">
        <v>23</v>
      </c>
      <c r="K25" s="11" t="s">
        <v>55</v>
      </c>
      <c r="L25" s="11" t="s">
        <v>140</v>
      </c>
      <c r="M25" s="11" t="s">
        <v>26</v>
      </c>
      <c r="N25" s="11" t="s">
        <v>138</v>
      </c>
      <c r="O25" s="11"/>
      <c r="P25" s="11"/>
    </row>
    <row r="26" spans="1:16" x14ac:dyDescent="0.25">
      <c r="A26" s="10">
        <v>332</v>
      </c>
      <c r="B26" s="11" t="s">
        <v>141</v>
      </c>
      <c r="C26" s="11" t="s">
        <v>19</v>
      </c>
      <c r="D26" s="11" t="s">
        <v>20</v>
      </c>
      <c r="E26" s="11">
        <v>25</v>
      </c>
      <c r="F26" s="14" t="str">
        <f t="shared" si="0"/>
        <v>Губаев И.Н.</v>
      </c>
      <c r="G26" s="11"/>
      <c r="H26" s="11" t="s">
        <v>142</v>
      </c>
      <c r="I26" s="18" t="s">
        <v>143</v>
      </c>
      <c r="J26" s="11" t="s">
        <v>23</v>
      </c>
      <c r="K26" s="11" t="s">
        <v>55</v>
      </c>
      <c r="L26" s="11" t="s">
        <v>25</v>
      </c>
      <c r="M26" s="11" t="s">
        <v>26</v>
      </c>
      <c r="N26" s="11"/>
      <c r="O26" s="11"/>
      <c r="P26" s="11"/>
    </row>
    <row r="27" spans="1:16" x14ac:dyDescent="0.25">
      <c r="A27" s="10">
        <v>241</v>
      </c>
      <c r="B27" s="11" t="s">
        <v>144</v>
      </c>
      <c r="C27" s="11" t="s">
        <v>46</v>
      </c>
      <c r="D27" s="11" t="s">
        <v>20</v>
      </c>
      <c r="E27" s="11">
        <v>26</v>
      </c>
      <c r="F27" s="14" t="str">
        <f t="shared" si="0"/>
        <v>Гурьянов А.Н.</v>
      </c>
      <c r="G27" s="11"/>
      <c r="H27" s="11"/>
      <c r="I27" s="11"/>
      <c r="J27" s="11" t="s">
        <v>23</v>
      </c>
      <c r="K27" s="11" t="s">
        <v>39</v>
      </c>
      <c r="L27" s="11" t="s">
        <v>145</v>
      </c>
      <c r="M27" s="11" t="s">
        <v>26</v>
      </c>
      <c r="N27" s="11" t="s">
        <v>146</v>
      </c>
      <c r="O27" s="11" t="s">
        <v>147</v>
      </c>
      <c r="P27" s="11"/>
    </row>
    <row r="28" spans="1:16" x14ac:dyDescent="0.25">
      <c r="A28" s="10">
        <v>325</v>
      </c>
      <c r="B28" s="11" t="s">
        <v>148</v>
      </c>
      <c r="C28" s="11" t="s">
        <v>93</v>
      </c>
      <c r="D28" s="11" t="s">
        <v>20</v>
      </c>
      <c r="E28" s="11">
        <v>27</v>
      </c>
      <c r="F28" s="14" t="str">
        <f t="shared" si="0"/>
        <v>Дарвиш С.Ю.</v>
      </c>
      <c r="G28" s="11"/>
      <c r="H28" s="11"/>
      <c r="I28" s="18" t="s">
        <v>149</v>
      </c>
      <c r="J28" s="11" t="s">
        <v>23</v>
      </c>
      <c r="K28" s="11" t="s">
        <v>24</v>
      </c>
      <c r="L28" s="11" t="s">
        <v>150</v>
      </c>
      <c r="M28" s="11" t="s">
        <v>26</v>
      </c>
      <c r="N28" s="11" t="s">
        <v>151</v>
      </c>
      <c r="O28" s="18" t="s">
        <v>149</v>
      </c>
      <c r="P28" s="11"/>
    </row>
    <row r="29" spans="1:16" x14ac:dyDescent="0.25">
      <c r="A29" s="10">
        <v>176</v>
      </c>
      <c r="B29" s="11" t="s">
        <v>152</v>
      </c>
      <c r="C29" s="11" t="s">
        <v>46</v>
      </c>
      <c r="D29" s="11" t="s">
        <v>20</v>
      </c>
      <c r="E29" s="11">
        <v>28</v>
      </c>
      <c r="F29" s="14" t="str">
        <f t="shared" si="0"/>
        <v>Дмитриченко Д.Ф.</v>
      </c>
      <c r="G29" s="11"/>
      <c r="H29" s="11"/>
      <c r="I29" s="18" t="s">
        <v>153</v>
      </c>
      <c r="J29" s="11" t="s">
        <v>23</v>
      </c>
      <c r="K29" s="11" t="s">
        <v>39</v>
      </c>
      <c r="L29" s="11" t="s">
        <v>154</v>
      </c>
      <c r="M29" s="11" t="s">
        <v>26</v>
      </c>
      <c r="N29" s="11" t="s">
        <v>155</v>
      </c>
      <c r="O29" s="11"/>
      <c r="P29" s="11"/>
    </row>
    <row r="30" spans="1:16" x14ac:dyDescent="0.25">
      <c r="A30" s="10">
        <v>180</v>
      </c>
      <c r="B30" s="11" t="s">
        <v>156</v>
      </c>
      <c r="C30" s="11" t="s">
        <v>70</v>
      </c>
      <c r="D30" s="11" t="s">
        <v>20</v>
      </c>
      <c r="E30" s="11">
        <v>29</v>
      </c>
      <c r="F30" s="14" t="str">
        <f t="shared" si="0"/>
        <v>Дорогов И.В.</v>
      </c>
      <c r="G30" s="11"/>
      <c r="H30" s="11" t="s">
        <v>157</v>
      </c>
      <c r="I30" s="18" t="s">
        <v>158</v>
      </c>
      <c r="J30" s="11" t="s">
        <v>23</v>
      </c>
      <c r="K30" s="11" t="s">
        <v>159</v>
      </c>
      <c r="L30" s="11" t="s">
        <v>154</v>
      </c>
      <c r="M30" s="11" t="s">
        <v>26</v>
      </c>
      <c r="N30" s="11" t="s">
        <v>160</v>
      </c>
      <c r="O30" s="18" t="s">
        <v>161</v>
      </c>
      <c r="P30" s="11"/>
    </row>
    <row r="31" spans="1:16" x14ac:dyDescent="0.25">
      <c r="A31" s="10">
        <v>160</v>
      </c>
      <c r="B31" s="11" t="s">
        <v>162</v>
      </c>
      <c r="C31" s="11" t="s">
        <v>163</v>
      </c>
      <c r="D31" s="11" t="s">
        <v>36</v>
      </c>
      <c r="E31" s="11">
        <v>30</v>
      </c>
      <c r="F31" s="14" t="str">
        <f t="shared" si="0"/>
        <v>Дьякова О.В.</v>
      </c>
      <c r="G31" s="11" t="s">
        <v>162</v>
      </c>
      <c r="H31" s="11" t="s">
        <v>164</v>
      </c>
      <c r="I31" s="18" t="s">
        <v>165</v>
      </c>
      <c r="J31" s="11" t="s">
        <v>23</v>
      </c>
      <c r="K31" s="11" t="s">
        <v>24</v>
      </c>
      <c r="L31" s="11" t="s">
        <v>166</v>
      </c>
      <c r="M31" s="11" t="s">
        <v>26</v>
      </c>
      <c r="N31" s="11" t="s">
        <v>167</v>
      </c>
      <c r="O31" s="11"/>
      <c r="P31" s="11"/>
    </row>
    <row r="32" spans="1:16" x14ac:dyDescent="0.25">
      <c r="A32" s="10">
        <v>167</v>
      </c>
      <c r="B32" s="11" t="s">
        <v>168</v>
      </c>
      <c r="C32" s="11" t="s">
        <v>46</v>
      </c>
      <c r="D32" s="11" t="s">
        <v>20</v>
      </c>
      <c r="E32" s="11">
        <v>31</v>
      </c>
      <c r="F32" s="14" t="str">
        <f t="shared" si="0"/>
        <v>Егоров С.В.</v>
      </c>
      <c r="G32" s="11"/>
      <c r="H32" s="11" t="s">
        <v>169</v>
      </c>
      <c r="I32" s="18" t="s">
        <v>170</v>
      </c>
      <c r="J32" s="11" t="s">
        <v>23</v>
      </c>
      <c r="K32" s="11" t="s">
        <v>39</v>
      </c>
      <c r="L32" s="11" t="s">
        <v>150</v>
      </c>
      <c r="M32" s="11" t="s">
        <v>26</v>
      </c>
      <c r="N32" s="11" t="s">
        <v>171</v>
      </c>
      <c r="O32" s="18" t="s">
        <v>172</v>
      </c>
      <c r="P32" s="11"/>
    </row>
    <row r="33" spans="1:16" x14ac:dyDescent="0.25">
      <c r="A33" s="10">
        <v>108</v>
      </c>
      <c r="B33" s="11" t="s">
        <v>173</v>
      </c>
      <c r="C33" s="11" t="s">
        <v>174</v>
      </c>
      <c r="D33" s="11" t="s">
        <v>20</v>
      </c>
      <c r="E33" s="11">
        <v>32</v>
      </c>
      <c r="F33" s="14" t="str">
        <f t="shared" si="0"/>
        <v>Ермолаева Р.Р.</v>
      </c>
      <c r="G33" s="11"/>
      <c r="H33" s="11" t="s">
        <v>175</v>
      </c>
      <c r="I33" s="18" t="s">
        <v>176</v>
      </c>
      <c r="J33" s="11" t="s">
        <v>23</v>
      </c>
      <c r="K33" s="11" t="s">
        <v>55</v>
      </c>
      <c r="L33" s="11" t="s">
        <v>177</v>
      </c>
      <c r="M33" s="11" t="s">
        <v>26</v>
      </c>
      <c r="N33" s="11" t="s">
        <v>175</v>
      </c>
      <c r="O33" s="11"/>
      <c r="P33" s="11"/>
    </row>
    <row r="34" spans="1:16" x14ac:dyDescent="0.25">
      <c r="A34" s="10">
        <v>121</v>
      </c>
      <c r="B34" s="11" t="s">
        <v>178</v>
      </c>
      <c r="C34" s="11" t="s">
        <v>88</v>
      </c>
      <c r="D34" s="11" t="s">
        <v>20</v>
      </c>
      <c r="E34" s="11">
        <v>33</v>
      </c>
      <c r="F34" s="14" t="str">
        <f t="shared" si="0"/>
        <v>Зарянова Д.В.</v>
      </c>
      <c r="G34" s="11"/>
      <c r="H34" s="11" t="s">
        <v>179</v>
      </c>
      <c r="I34" s="18" t="s">
        <v>180</v>
      </c>
      <c r="J34" s="11" t="s">
        <v>23</v>
      </c>
      <c r="K34" s="11" t="s">
        <v>55</v>
      </c>
      <c r="L34" s="11" t="s">
        <v>181</v>
      </c>
      <c r="M34" s="11" t="s">
        <v>26</v>
      </c>
      <c r="N34" s="11" t="s">
        <v>179</v>
      </c>
      <c r="O34" s="11"/>
      <c r="P34" s="11"/>
    </row>
    <row r="35" spans="1:16" x14ac:dyDescent="0.25">
      <c r="A35" s="10">
        <v>196</v>
      </c>
      <c r="B35" s="11" t="s">
        <v>182</v>
      </c>
      <c r="C35" s="11" t="s">
        <v>46</v>
      </c>
      <c r="D35" s="11" t="s">
        <v>20</v>
      </c>
      <c r="E35" s="11">
        <v>34</v>
      </c>
      <c r="F35" s="14" t="str">
        <f t="shared" si="0"/>
        <v>Зыков Н.А.</v>
      </c>
      <c r="G35" s="11"/>
      <c r="H35" s="11"/>
      <c r="I35" s="11"/>
      <c r="J35" s="11" t="s">
        <v>23</v>
      </c>
      <c r="K35" s="11" t="s">
        <v>39</v>
      </c>
      <c r="L35" s="11" t="s">
        <v>117</v>
      </c>
      <c r="M35" s="11" t="s">
        <v>26</v>
      </c>
      <c r="N35" s="11" t="s">
        <v>183</v>
      </c>
      <c r="O35" s="18" t="s">
        <v>184</v>
      </c>
      <c r="P35" s="11"/>
    </row>
    <row r="36" spans="1:16" x14ac:dyDescent="0.25">
      <c r="A36" s="10">
        <v>303</v>
      </c>
      <c r="B36" s="11" t="s">
        <v>185</v>
      </c>
      <c r="C36" s="11" t="s">
        <v>35</v>
      </c>
      <c r="D36" s="11" t="s">
        <v>20</v>
      </c>
      <c r="E36" s="11">
        <v>35</v>
      </c>
      <c r="F36" s="14" t="str">
        <f t="shared" si="0"/>
        <v>Ибрагимов И.А.</v>
      </c>
      <c r="G36" s="11"/>
      <c r="H36" s="11" t="s">
        <v>186</v>
      </c>
      <c r="I36" s="18" t="s">
        <v>187</v>
      </c>
      <c r="J36" s="11" t="s">
        <v>23</v>
      </c>
      <c r="K36" s="11" t="s">
        <v>55</v>
      </c>
      <c r="L36" s="11" t="s">
        <v>188</v>
      </c>
      <c r="M36" s="11" t="s">
        <v>26</v>
      </c>
      <c r="N36" s="11" t="s">
        <v>189</v>
      </c>
      <c r="O36" s="11"/>
      <c r="P36" s="11"/>
    </row>
    <row r="37" spans="1:16" x14ac:dyDescent="0.25">
      <c r="A37" s="10">
        <v>171</v>
      </c>
      <c r="B37" s="11" t="s">
        <v>190</v>
      </c>
      <c r="C37" s="11" t="s">
        <v>46</v>
      </c>
      <c r="D37" s="11" t="s">
        <v>20</v>
      </c>
      <c r="E37" s="11">
        <v>36</v>
      </c>
      <c r="F37" s="14" t="str">
        <f t="shared" si="0"/>
        <v>Иванов Ю.В.</v>
      </c>
      <c r="G37" s="11"/>
      <c r="H37" s="11"/>
      <c r="I37" s="18" t="s">
        <v>191</v>
      </c>
      <c r="J37" s="11" t="s">
        <v>23</v>
      </c>
      <c r="K37" s="11" t="s">
        <v>39</v>
      </c>
      <c r="L37" s="11" t="s">
        <v>192</v>
      </c>
      <c r="M37" s="11" t="s">
        <v>26</v>
      </c>
      <c r="N37" s="11" t="s">
        <v>193</v>
      </c>
      <c r="O37" s="11"/>
      <c r="P37" s="11"/>
    </row>
    <row r="38" spans="1:16" x14ac:dyDescent="0.25">
      <c r="A38" s="10">
        <v>131</v>
      </c>
      <c r="B38" s="11" t="s">
        <v>194</v>
      </c>
      <c r="C38" s="11" t="s">
        <v>58</v>
      </c>
      <c r="D38" s="11" t="s">
        <v>20</v>
      </c>
      <c r="E38" s="11">
        <v>37</v>
      </c>
      <c r="F38" s="14" t="str">
        <f t="shared" si="0"/>
        <v>Илалова М.Н.</v>
      </c>
      <c r="G38" s="11" t="s">
        <v>59</v>
      </c>
      <c r="H38" s="11" t="s">
        <v>195</v>
      </c>
      <c r="I38" s="18" t="s">
        <v>196</v>
      </c>
      <c r="J38" s="11" t="s">
        <v>23</v>
      </c>
      <c r="K38" s="11" t="s">
        <v>24</v>
      </c>
      <c r="L38" s="11" t="s">
        <v>67</v>
      </c>
      <c r="M38" s="11" t="s">
        <v>26</v>
      </c>
      <c r="N38" s="11" t="s">
        <v>195</v>
      </c>
      <c r="O38" s="18" t="s">
        <v>197</v>
      </c>
      <c r="P38" s="11"/>
    </row>
    <row r="39" spans="1:16" x14ac:dyDescent="0.25">
      <c r="A39" s="10">
        <v>80</v>
      </c>
      <c r="B39" s="11" t="s">
        <v>198</v>
      </c>
      <c r="C39" s="11" t="s">
        <v>199</v>
      </c>
      <c r="D39" s="11" t="s">
        <v>36</v>
      </c>
      <c r="E39" s="11">
        <v>38</v>
      </c>
      <c r="F39" s="14" t="str">
        <f t="shared" si="0"/>
        <v>Исаева О.А.</v>
      </c>
      <c r="G39" s="11" t="s">
        <v>198</v>
      </c>
      <c r="H39" s="11" t="s">
        <v>200</v>
      </c>
      <c r="I39" s="18" t="s">
        <v>201</v>
      </c>
      <c r="J39" s="11" t="s">
        <v>23</v>
      </c>
      <c r="K39" s="11" t="s">
        <v>24</v>
      </c>
      <c r="L39" s="11" t="s">
        <v>202</v>
      </c>
      <c r="M39" s="11" t="s">
        <v>26</v>
      </c>
      <c r="N39" s="11" t="s">
        <v>203</v>
      </c>
      <c r="O39" s="11"/>
      <c r="P39" s="18" t="s">
        <v>204</v>
      </c>
    </row>
    <row r="40" spans="1:16" x14ac:dyDescent="0.25">
      <c r="A40" s="10">
        <v>222</v>
      </c>
      <c r="B40" s="11" t="s">
        <v>205</v>
      </c>
      <c r="C40" s="11" t="s">
        <v>46</v>
      </c>
      <c r="D40" s="11" t="s">
        <v>20</v>
      </c>
      <c r="E40" s="11">
        <v>39</v>
      </c>
      <c r="F40" s="14" t="str">
        <f t="shared" si="0"/>
        <v>Исламов Ф.Р.</v>
      </c>
      <c r="G40" s="11"/>
      <c r="H40" s="11"/>
      <c r="I40" s="11"/>
      <c r="J40" s="11" t="s">
        <v>23</v>
      </c>
      <c r="K40" s="11" t="s">
        <v>39</v>
      </c>
      <c r="L40" s="11" t="s">
        <v>206</v>
      </c>
      <c r="M40" s="11" t="s">
        <v>26</v>
      </c>
      <c r="N40" s="11" t="s">
        <v>207</v>
      </c>
      <c r="O40" s="18" t="s">
        <v>208</v>
      </c>
      <c r="P40" s="11"/>
    </row>
    <row r="41" spans="1:16" x14ac:dyDescent="0.25">
      <c r="A41" s="10">
        <v>253</v>
      </c>
      <c r="B41" s="11" t="s">
        <v>209</v>
      </c>
      <c r="C41" s="11" t="s">
        <v>52</v>
      </c>
      <c r="D41" s="11" t="s">
        <v>20</v>
      </c>
      <c r="E41" s="11">
        <v>40</v>
      </c>
      <c r="F41" s="14" t="str">
        <f t="shared" si="0"/>
        <v>Канакотина Е.С.</v>
      </c>
      <c r="G41" s="11" t="s">
        <v>51</v>
      </c>
      <c r="H41" s="11" t="s">
        <v>210</v>
      </c>
      <c r="I41" s="18" t="s">
        <v>211</v>
      </c>
      <c r="J41" s="11" t="s">
        <v>23</v>
      </c>
      <c r="K41" s="11" t="s">
        <v>55</v>
      </c>
      <c r="L41" s="11" t="s">
        <v>140</v>
      </c>
      <c r="M41" s="11" t="s">
        <v>26</v>
      </c>
      <c r="N41" s="11" t="s">
        <v>210</v>
      </c>
      <c r="O41" s="11"/>
      <c r="P41" s="11"/>
    </row>
    <row r="42" spans="1:16" x14ac:dyDescent="0.25">
      <c r="A42" s="10">
        <v>266</v>
      </c>
      <c r="B42" s="11" t="s">
        <v>212</v>
      </c>
      <c r="C42" s="11" t="s">
        <v>46</v>
      </c>
      <c r="D42" s="11" t="s">
        <v>20</v>
      </c>
      <c r="E42" s="11">
        <v>41</v>
      </c>
      <c r="F42" s="14" t="str">
        <f t="shared" si="0"/>
        <v>Кандаков А.О.</v>
      </c>
      <c r="G42" s="11"/>
      <c r="H42" s="11"/>
      <c r="I42" s="18" t="s">
        <v>213</v>
      </c>
      <c r="J42" s="11" t="s">
        <v>23</v>
      </c>
      <c r="K42" s="11" t="s">
        <v>39</v>
      </c>
      <c r="L42" s="11" t="s">
        <v>188</v>
      </c>
      <c r="M42" s="11" t="s">
        <v>26</v>
      </c>
      <c r="N42" s="11" t="s">
        <v>214</v>
      </c>
      <c r="O42" s="11"/>
      <c r="P42" s="11"/>
    </row>
    <row r="43" spans="1:16" x14ac:dyDescent="0.25">
      <c r="A43" s="10">
        <v>207</v>
      </c>
      <c r="B43" s="11" t="s">
        <v>215</v>
      </c>
      <c r="C43" s="11" t="s">
        <v>70</v>
      </c>
      <c r="D43" s="11" t="s">
        <v>20</v>
      </c>
      <c r="E43" s="11">
        <v>42</v>
      </c>
      <c r="F43" s="14" t="str">
        <f t="shared" si="0"/>
        <v>Караваев А.А.</v>
      </c>
      <c r="G43" s="11"/>
      <c r="H43" s="11" t="s">
        <v>216</v>
      </c>
      <c r="I43" s="11"/>
      <c r="J43" s="11" t="s">
        <v>23</v>
      </c>
      <c r="K43" s="11" t="s">
        <v>24</v>
      </c>
      <c r="L43" s="11" t="s">
        <v>154</v>
      </c>
      <c r="M43" s="11" t="s">
        <v>26</v>
      </c>
      <c r="N43" s="11" t="s">
        <v>216</v>
      </c>
      <c r="O43" s="18" t="s">
        <v>217</v>
      </c>
      <c r="P43" s="11"/>
    </row>
    <row r="44" spans="1:16" x14ac:dyDescent="0.25">
      <c r="A44" s="10">
        <v>129</v>
      </c>
      <c r="B44" s="11" t="s">
        <v>218</v>
      </c>
      <c r="C44" s="11" t="s">
        <v>83</v>
      </c>
      <c r="D44" s="11" t="s">
        <v>20</v>
      </c>
      <c r="E44" s="11">
        <v>43</v>
      </c>
      <c r="F44" s="14" t="str">
        <f t="shared" si="0"/>
        <v>Кареев С.А.</v>
      </c>
      <c r="G44" s="11"/>
      <c r="H44" s="11" t="s">
        <v>219</v>
      </c>
      <c r="I44" s="18" t="s">
        <v>220</v>
      </c>
      <c r="J44" s="11" t="s">
        <v>23</v>
      </c>
      <c r="K44" s="11" t="s">
        <v>55</v>
      </c>
      <c r="L44" s="11" t="s">
        <v>221</v>
      </c>
      <c r="M44" s="11" t="s">
        <v>26</v>
      </c>
      <c r="N44" s="11" t="s">
        <v>219</v>
      </c>
      <c r="O44" s="11"/>
      <c r="P44" s="11"/>
    </row>
    <row r="45" spans="1:16" x14ac:dyDescent="0.25">
      <c r="A45" s="10">
        <v>124</v>
      </c>
      <c r="B45" s="11" t="s">
        <v>222</v>
      </c>
      <c r="C45" s="11" t="s">
        <v>19</v>
      </c>
      <c r="D45" s="11" t="s">
        <v>20</v>
      </c>
      <c r="E45" s="11">
        <v>44</v>
      </c>
      <c r="F45" s="14" t="str">
        <f t="shared" si="0"/>
        <v>Касимов Р.И.</v>
      </c>
      <c r="G45" s="11"/>
      <c r="H45" s="11" t="s">
        <v>223</v>
      </c>
      <c r="I45" s="18" t="s">
        <v>224</v>
      </c>
      <c r="J45" s="11" t="s">
        <v>23</v>
      </c>
      <c r="K45" s="11" t="s">
        <v>55</v>
      </c>
      <c r="L45" s="11" t="s">
        <v>225</v>
      </c>
      <c r="M45" s="11" t="s">
        <v>26</v>
      </c>
      <c r="N45" s="11" t="s">
        <v>223</v>
      </c>
      <c r="O45" s="11"/>
      <c r="P45" s="11"/>
    </row>
    <row r="46" spans="1:16" x14ac:dyDescent="0.25">
      <c r="A46" s="10">
        <v>199</v>
      </c>
      <c r="B46" s="11" t="s">
        <v>226</v>
      </c>
      <c r="C46" s="11" t="s">
        <v>46</v>
      </c>
      <c r="D46" s="11" t="s">
        <v>20</v>
      </c>
      <c r="E46" s="11">
        <v>45</v>
      </c>
      <c r="F46" s="14" t="str">
        <f t="shared" si="0"/>
        <v>Каюмова Э.Г.</v>
      </c>
      <c r="G46" s="11"/>
      <c r="H46" s="11"/>
      <c r="I46" s="18" t="s">
        <v>227</v>
      </c>
      <c r="J46" s="11" t="s">
        <v>23</v>
      </c>
      <c r="K46" s="11" t="s">
        <v>39</v>
      </c>
      <c r="L46" s="11" t="s">
        <v>188</v>
      </c>
      <c r="M46" s="11" t="s">
        <v>228</v>
      </c>
      <c r="N46" s="11" t="s">
        <v>229</v>
      </c>
      <c r="O46" s="11"/>
      <c r="P46" s="11"/>
    </row>
    <row r="47" spans="1:16" x14ac:dyDescent="0.25">
      <c r="A47" s="10">
        <v>112</v>
      </c>
      <c r="B47" s="11" t="s">
        <v>230</v>
      </c>
      <c r="C47" s="11" t="s">
        <v>70</v>
      </c>
      <c r="D47" s="11" t="s">
        <v>20</v>
      </c>
      <c r="E47" s="11">
        <v>46</v>
      </c>
      <c r="F47" s="14" t="str">
        <f t="shared" si="0"/>
        <v>Коноплев М.А.</v>
      </c>
      <c r="G47" s="11"/>
      <c r="H47" s="11" t="s">
        <v>231</v>
      </c>
      <c r="I47" s="18" t="s">
        <v>232</v>
      </c>
      <c r="J47" s="11" t="s">
        <v>23</v>
      </c>
      <c r="K47" s="11" t="s">
        <v>24</v>
      </c>
      <c r="L47" s="11" t="s">
        <v>154</v>
      </c>
      <c r="M47" s="11" t="s">
        <v>26</v>
      </c>
      <c r="N47" s="11" t="s">
        <v>231</v>
      </c>
      <c r="O47" s="18" t="s">
        <v>233</v>
      </c>
      <c r="P47" s="11"/>
    </row>
    <row r="48" spans="1:16" x14ac:dyDescent="0.25">
      <c r="A48" s="10">
        <v>206</v>
      </c>
      <c r="B48" s="11" t="s">
        <v>234</v>
      </c>
      <c r="C48" s="11" t="s">
        <v>235</v>
      </c>
      <c r="D48" s="11" t="s">
        <v>20</v>
      </c>
      <c r="E48" s="11">
        <v>47</v>
      </c>
      <c r="F48" s="14" t="str">
        <f t="shared" si="0"/>
        <v>Костромин Д.А.</v>
      </c>
      <c r="G48" s="11" t="s">
        <v>236</v>
      </c>
      <c r="H48" s="11" t="s">
        <v>237</v>
      </c>
      <c r="I48" s="18" t="s">
        <v>238</v>
      </c>
      <c r="J48" s="11" t="s">
        <v>23</v>
      </c>
      <c r="K48" s="11" t="s">
        <v>24</v>
      </c>
      <c r="L48" s="11" t="s">
        <v>239</v>
      </c>
      <c r="M48" s="11" t="s">
        <v>26</v>
      </c>
      <c r="N48" s="11" t="s">
        <v>240</v>
      </c>
      <c r="O48" s="11"/>
      <c r="P48" s="11"/>
    </row>
    <row r="49" spans="1:16" x14ac:dyDescent="0.25">
      <c r="A49" s="10">
        <v>227</v>
      </c>
      <c r="B49" s="11" t="s">
        <v>241</v>
      </c>
      <c r="C49" s="11" t="s">
        <v>46</v>
      </c>
      <c r="D49" s="11" t="s">
        <v>20</v>
      </c>
      <c r="E49" s="11">
        <v>48</v>
      </c>
      <c r="F49" s="14" t="str">
        <f t="shared" si="0"/>
        <v>Котов Д.Д.</v>
      </c>
      <c r="G49" s="11"/>
      <c r="H49" s="11"/>
      <c r="I49" s="18" t="s">
        <v>242</v>
      </c>
      <c r="J49" s="11" t="s">
        <v>23</v>
      </c>
      <c r="K49" s="11" t="s">
        <v>39</v>
      </c>
      <c r="L49" s="11" t="s">
        <v>243</v>
      </c>
      <c r="M49" s="11" t="s">
        <v>26</v>
      </c>
      <c r="N49" s="11" t="s">
        <v>244</v>
      </c>
      <c r="O49" s="11"/>
      <c r="P49" s="11"/>
    </row>
    <row r="50" spans="1:16" x14ac:dyDescent="0.25">
      <c r="A50" s="10">
        <v>326</v>
      </c>
      <c r="B50" s="11" t="s">
        <v>245</v>
      </c>
      <c r="C50" s="11" t="s">
        <v>46</v>
      </c>
      <c r="D50" s="11" t="s">
        <v>20</v>
      </c>
      <c r="E50" s="11">
        <v>49</v>
      </c>
      <c r="F50" s="14" t="str">
        <f t="shared" si="0"/>
        <v>Кубиева Э.С.</v>
      </c>
      <c r="G50" s="11"/>
      <c r="H50" s="11"/>
      <c r="I50" s="18" t="s">
        <v>246</v>
      </c>
      <c r="J50" s="11" t="s">
        <v>23</v>
      </c>
      <c r="K50" s="11" t="s">
        <v>39</v>
      </c>
      <c r="L50" s="11" t="s">
        <v>188</v>
      </c>
      <c r="M50" s="11" t="s">
        <v>26</v>
      </c>
      <c r="N50" s="11" t="s">
        <v>247</v>
      </c>
      <c r="O50" s="11"/>
      <c r="P50" s="11"/>
    </row>
    <row r="51" spans="1:16" x14ac:dyDescent="0.25">
      <c r="A51" s="10">
        <v>209</v>
      </c>
      <c r="B51" s="11" t="s">
        <v>248</v>
      </c>
      <c r="C51" s="11" t="s">
        <v>249</v>
      </c>
      <c r="D51" s="11" t="s">
        <v>20</v>
      </c>
      <c r="E51" s="11">
        <v>50</v>
      </c>
      <c r="F51" s="14" t="str">
        <f t="shared" si="0"/>
        <v>Куксенков С.А.</v>
      </c>
      <c r="G51" s="11"/>
      <c r="H51" s="11"/>
      <c r="I51" s="18" t="s">
        <v>250</v>
      </c>
      <c r="J51" s="11" t="s">
        <v>23</v>
      </c>
      <c r="K51" s="11" t="s">
        <v>73</v>
      </c>
      <c r="L51" s="11" t="s">
        <v>251</v>
      </c>
      <c r="M51" s="11" t="s">
        <v>252</v>
      </c>
      <c r="N51" s="11" t="s">
        <v>253</v>
      </c>
      <c r="O51" s="11"/>
      <c r="P51" s="11"/>
    </row>
    <row r="52" spans="1:16" x14ac:dyDescent="0.25">
      <c r="A52" s="10">
        <v>293</v>
      </c>
      <c r="B52" s="11" t="s">
        <v>254</v>
      </c>
      <c r="C52" s="11" t="s">
        <v>46</v>
      </c>
      <c r="D52" s="11" t="s">
        <v>20</v>
      </c>
      <c r="E52" s="11">
        <v>51</v>
      </c>
      <c r="F52" s="14" t="str">
        <f t="shared" si="0"/>
        <v>Кунафин Р.А.</v>
      </c>
      <c r="G52" s="11"/>
      <c r="H52" s="11"/>
      <c r="I52" s="11" t="s">
        <v>255</v>
      </c>
      <c r="J52" s="11" t="s">
        <v>23</v>
      </c>
      <c r="K52" s="11" t="s">
        <v>256</v>
      </c>
      <c r="L52" s="11" t="s">
        <v>257</v>
      </c>
      <c r="M52" s="11" t="s">
        <v>258</v>
      </c>
      <c r="N52" s="11" t="s">
        <v>259</v>
      </c>
      <c r="O52" s="11"/>
      <c r="P52" s="11"/>
    </row>
    <row r="53" spans="1:16" x14ac:dyDescent="0.25">
      <c r="A53" s="10">
        <v>98</v>
      </c>
      <c r="B53" s="11" t="s">
        <v>260</v>
      </c>
      <c r="C53" s="11" t="s">
        <v>108</v>
      </c>
      <c r="D53" s="11" t="s">
        <v>20</v>
      </c>
      <c r="E53" s="11">
        <v>52</v>
      </c>
      <c r="F53" s="14" t="str">
        <f t="shared" si="0"/>
        <v>Куницына Н.Е.</v>
      </c>
      <c r="G53" s="11" t="s">
        <v>109</v>
      </c>
      <c r="H53" s="11" t="s">
        <v>261</v>
      </c>
      <c r="I53" s="18" t="s">
        <v>262</v>
      </c>
      <c r="J53" s="11" t="s">
        <v>23</v>
      </c>
      <c r="K53" s="11" t="s">
        <v>55</v>
      </c>
      <c r="L53" s="11" t="s">
        <v>263</v>
      </c>
      <c r="M53" s="11" t="s">
        <v>26</v>
      </c>
      <c r="N53" s="11" t="s">
        <v>261</v>
      </c>
      <c r="O53" s="11"/>
      <c r="P53" s="11"/>
    </row>
    <row r="54" spans="1:16" x14ac:dyDescent="0.25">
      <c r="A54" s="10">
        <v>307</v>
      </c>
      <c r="B54" s="11" t="s">
        <v>264</v>
      </c>
      <c r="C54" s="11" t="s">
        <v>46</v>
      </c>
      <c r="D54" s="11" t="s">
        <v>20</v>
      </c>
      <c r="E54" s="11">
        <v>53</v>
      </c>
      <c r="F54" s="14" t="str">
        <f t="shared" si="0"/>
        <v>Куприн Н.В.</v>
      </c>
      <c r="G54" s="11"/>
      <c r="H54" s="11"/>
      <c r="I54" s="18" t="s">
        <v>265</v>
      </c>
      <c r="J54" s="11" t="s">
        <v>23</v>
      </c>
      <c r="K54" s="11" t="s">
        <v>39</v>
      </c>
      <c r="L54" s="11" t="s">
        <v>192</v>
      </c>
      <c r="M54" s="11" t="s">
        <v>26</v>
      </c>
      <c r="N54" s="11" t="s">
        <v>266</v>
      </c>
      <c r="O54" s="11"/>
      <c r="P54" s="11"/>
    </row>
    <row r="55" spans="1:16" x14ac:dyDescent="0.25">
      <c r="A55" s="10">
        <v>205</v>
      </c>
      <c r="B55" s="11" t="s">
        <v>267</v>
      </c>
      <c r="C55" s="11" t="s">
        <v>249</v>
      </c>
      <c r="D55" s="11" t="s">
        <v>20</v>
      </c>
      <c r="E55" s="11">
        <v>54</v>
      </c>
      <c r="F55" s="14" t="str">
        <f t="shared" si="0"/>
        <v>Кутыркин А.А.</v>
      </c>
      <c r="G55" s="11"/>
      <c r="H55" s="11"/>
      <c r="I55" s="18" t="s">
        <v>268</v>
      </c>
      <c r="J55" s="11" t="s">
        <v>23</v>
      </c>
      <c r="K55" s="11" t="s">
        <v>24</v>
      </c>
      <c r="L55" s="11" t="s">
        <v>269</v>
      </c>
      <c r="M55" s="11" t="s">
        <v>26</v>
      </c>
      <c r="N55" s="11" t="s">
        <v>270</v>
      </c>
      <c r="O55" s="11"/>
      <c r="P55" s="11"/>
    </row>
    <row r="56" spans="1:16" x14ac:dyDescent="0.25">
      <c r="A56" s="10">
        <v>96</v>
      </c>
      <c r="B56" s="11" t="s">
        <v>271</v>
      </c>
      <c r="C56" s="11" t="s">
        <v>19</v>
      </c>
      <c r="D56" s="11" t="s">
        <v>20</v>
      </c>
      <c r="E56" s="11">
        <v>55</v>
      </c>
      <c r="F56" s="14" t="str">
        <f t="shared" si="0"/>
        <v>Латыпов Т.А.</v>
      </c>
      <c r="G56" s="11"/>
      <c r="H56" s="11" t="s">
        <v>272</v>
      </c>
      <c r="I56" s="18" t="s">
        <v>273</v>
      </c>
      <c r="J56" s="11" t="s">
        <v>23</v>
      </c>
      <c r="K56" s="11" t="s">
        <v>55</v>
      </c>
      <c r="L56" s="11" t="s">
        <v>225</v>
      </c>
      <c r="M56" s="11" t="s">
        <v>26</v>
      </c>
      <c r="N56" s="11" t="s">
        <v>272</v>
      </c>
      <c r="O56" s="11"/>
      <c r="P56" s="11"/>
    </row>
    <row r="57" spans="1:16" x14ac:dyDescent="0.25">
      <c r="A57" s="10">
        <v>119</v>
      </c>
      <c r="B57" s="11" t="s">
        <v>274</v>
      </c>
      <c r="C57" s="11" t="s">
        <v>52</v>
      </c>
      <c r="D57" s="11" t="s">
        <v>20</v>
      </c>
      <c r="E57" s="11">
        <v>56</v>
      </c>
      <c r="F57" s="14" t="str">
        <f t="shared" si="0"/>
        <v>Липатова А.Д.</v>
      </c>
      <c r="G57" s="11" t="s">
        <v>51</v>
      </c>
      <c r="H57" s="11" t="s">
        <v>275</v>
      </c>
      <c r="I57" s="18" t="s">
        <v>276</v>
      </c>
      <c r="J57" s="11" t="s">
        <v>23</v>
      </c>
      <c r="K57" s="11" t="s">
        <v>55</v>
      </c>
      <c r="L57" s="11" t="s">
        <v>277</v>
      </c>
      <c r="M57" s="11" t="s">
        <v>26</v>
      </c>
      <c r="N57" s="11" t="s">
        <v>275</v>
      </c>
      <c r="O57" s="11"/>
      <c r="P57" s="11"/>
    </row>
    <row r="58" spans="1:16" x14ac:dyDescent="0.25">
      <c r="A58" s="10">
        <v>314</v>
      </c>
      <c r="B58" s="11" t="s">
        <v>278</v>
      </c>
      <c r="C58" s="11" t="s">
        <v>52</v>
      </c>
      <c r="D58" s="11" t="s">
        <v>20</v>
      </c>
      <c r="E58" s="11">
        <v>57</v>
      </c>
      <c r="F58" s="14" t="str">
        <f t="shared" si="0"/>
        <v>Мазитов Б.Ф.</v>
      </c>
      <c r="G58" s="11" t="s">
        <v>51</v>
      </c>
      <c r="H58" s="11" t="s">
        <v>279</v>
      </c>
      <c r="I58" s="18" t="s">
        <v>280</v>
      </c>
      <c r="J58" s="11" t="s">
        <v>23</v>
      </c>
      <c r="K58" s="11" t="s">
        <v>24</v>
      </c>
      <c r="L58" s="11" t="s">
        <v>281</v>
      </c>
      <c r="M58" s="11" t="s">
        <v>26</v>
      </c>
      <c r="N58" s="11" t="s">
        <v>282</v>
      </c>
      <c r="O58" s="11"/>
      <c r="P58" s="11"/>
    </row>
    <row r="59" spans="1:16" x14ac:dyDescent="0.25">
      <c r="A59" s="10">
        <v>168</v>
      </c>
      <c r="B59" s="11" t="s">
        <v>283</v>
      </c>
      <c r="C59" s="11" t="s">
        <v>46</v>
      </c>
      <c r="D59" s="11" t="s">
        <v>20</v>
      </c>
      <c r="E59" s="11">
        <v>58</v>
      </c>
      <c r="F59" s="14" t="str">
        <f t="shared" si="0"/>
        <v>Макаров В.П.</v>
      </c>
      <c r="G59" s="11"/>
      <c r="H59" s="11"/>
      <c r="I59" s="18" t="s">
        <v>284</v>
      </c>
      <c r="J59" s="11" t="s">
        <v>23</v>
      </c>
      <c r="K59" s="11" t="s">
        <v>39</v>
      </c>
      <c r="L59" s="11" t="s">
        <v>251</v>
      </c>
      <c r="M59" s="11" t="s">
        <v>26</v>
      </c>
      <c r="N59" s="11" t="s">
        <v>285</v>
      </c>
      <c r="O59" s="18" t="s">
        <v>286</v>
      </c>
      <c r="P59" s="11"/>
    </row>
    <row r="60" spans="1:16" x14ac:dyDescent="0.25">
      <c r="A60" s="10">
        <v>192</v>
      </c>
      <c r="B60" s="11" t="s">
        <v>287</v>
      </c>
      <c r="C60" s="11" t="s">
        <v>46</v>
      </c>
      <c r="D60" s="11" t="s">
        <v>20</v>
      </c>
      <c r="E60" s="11">
        <v>59</v>
      </c>
      <c r="F60" s="14" t="str">
        <f t="shared" si="0"/>
        <v>Макаров В.П.</v>
      </c>
      <c r="G60" s="11"/>
      <c r="H60" s="11"/>
      <c r="I60" s="18" t="s">
        <v>288</v>
      </c>
      <c r="J60" s="11" t="s">
        <v>23</v>
      </c>
      <c r="K60" s="11" t="s">
        <v>39</v>
      </c>
      <c r="L60" s="11" t="s">
        <v>257</v>
      </c>
      <c r="M60" s="11" t="s">
        <v>26</v>
      </c>
      <c r="N60" s="11" t="s">
        <v>289</v>
      </c>
      <c r="O60" s="11"/>
      <c r="P60" s="11"/>
    </row>
    <row r="61" spans="1:16" x14ac:dyDescent="0.25">
      <c r="A61" s="10">
        <v>217</v>
      </c>
      <c r="B61" s="11" t="s">
        <v>290</v>
      </c>
      <c r="C61" s="11" t="s">
        <v>46</v>
      </c>
      <c r="D61" s="11" t="s">
        <v>20</v>
      </c>
      <c r="E61" s="11">
        <v>60</v>
      </c>
      <c r="F61" s="14" t="str">
        <f t="shared" si="0"/>
        <v>Макаров П.В.</v>
      </c>
      <c r="G61" s="11"/>
      <c r="H61" s="11"/>
      <c r="I61" s="18" t="s">
        <v>291</v>
      </c>
      <c r="J61" s="11" t="s">
        <v>23</v>
      </c>
      <c r="K61" s="11" t="s">
        <v>39</v>
      </c>
      <c r="L61" s="11" t="s">
        <v>206</v>
      </c>
      <c r="M61" s="11" t="s">
        <v>26</v>
      </c>
      <c r="N61" s="11" t="s">
        <v>292</v>
      </c>
      <c r="O61" s="11"/>
      <c r="P61" s="11"/>
    </row>
    <row r="62" spans="1:16" x14ac:dyDescent="0.25">
      <c r="A62" s="10">
        <v>328</v>
      </c>
      <c r="B62" s="11" t="s">
        <v>290</v>
      </c>
      <c r="C62" s="11" t="s">
        <v>46</v>
      </c>
      <c r="D62" s="11" t="s">
        <v>20</v>
      </c>
      <c r="E62" s="11">
        <v>61</v>
      </c>
      <c r="F62" s="14" t="str">
        <f t="shared" si="0"/>
        <v>Макаров П.В.</v>
      </c>
      <c r="G62" s="11"/>
      <c r="H62" s="11"/>
      <c r="I62" s="18" t="s">
        <v>291</v>
      </c>
      <c r="J62" s="11" t="s">
        <v>23</v>
      </c>
      <c r="K62" s="11" t="s">
        <v>39</v>
      </c>
      <c r="L62" s="11" t="s">
        <v>293</v>
      </c>
      <c r="M62" s="11" t="s">
        <v>26</v>
      </c>
      <c r="N62" s="11" t="s">
        <v>292</v>
      </c>
      <c r="O62" s="11"/>
      <c r="P62" s="11"/>
    </row>
    <row r="63" spans="1:16" x14ac:dyDescent="0.25">
      <c r="A63" s="10">
        <v>169</v>
      </c>
      <c r="B63" s="11" t="s">
        <v>294</v>
      </c>
      <c r="C63" s="11" t="s">
        <v>46</v>
      </c>
      <c r="D63" s="11" t="s">
        <v>20</v>
      </c>
      <c r="E63" s="11">
        <v>62</v>
      </c>
      <c r="F63" s="14" t="str">
        <f t="shared" si="0"/>
        <v>Макашов Р.И.</v>
      </c>
      <c r="G63" s="11"/>
      <c r="H63" s="11"/>
      <c r="I63" s="18" t="s">
        <v>295</v>
      </c>
      <c r="J63" s="11" t="s">
        <v>23</v>
      </c>
      <c r="K63" s="11" t="s">
        <v>39</v>
      </c>
      <c r="L63" s="11" t="s">
        <v>154</v>
      </c>
      <c r="M63" s="11" t="s">
        <v>26</v>
      </c>
      <c r="N63" s="11" t="s">
        <v>296</v>
      </c>
      <c r="O63" s="18" t="s">
        <v>297</v>
      </c>
      <c r="P63" s="11"/>
    </row>
    <row r="64" spans="1:16" x14ac:dyDescent="0.25">
      <c r="A64" s="10">
        <v>239</v>
      </c>
      <c r="B64" s="11" t="s">
        <v>298</v>
      </c>
      <c r="C64" s="11" t="s">
        <v>52</v>
      </c>
      <c r="D64" s="11" t="s">
        <v>20</v>
      </c>
      <c r="E64" s="11">
        <v>63</v>
      </c>
      <c r="F64" s="14" t="str">
        <f t="shared" si="0"/>
        <v>Макин Н.А.</v>
      </c>
      <c r="G64" s="11" t="s">
        <v>51</v>
      </c>
      <c r="H64" s="11" t="s">
        <v>299</v>
      </c>
      <c r="I64" s="18" t="s">
        <v>300</v>
      </c>
      <c r="J64" s="11" t="s">
        <v>23</v>
      </c>
      <c r="K64" s="11" t="s">
        <v>55</v>
      </c>
      <c r="L64" s="11" t="s">
        <v>301</v>
      </c>
      <c r="M64" s="11" t="s">
        <v>26</v>
      </c>
      <c r="N64" s="11" t="s">
        <v>302</v>
      </c>
      <c r="O64" s="11"/>
      <c r="P64" s="11"/>
    </row>
    <row r="65" spans="1:16" x14ac:dyDescent="0.25">
      <c r="A65" s="10">
        <v>40</v>
      </c>
      <c r="B65" s="11" t="s">
        <v>303</v>
      </c>
      <c r="C65" s="11" t="s">
        <v>52</v>
      </c>
      <c r="D65" s="11" t="s">
        <v>20</v>
      </c>
      <c r="E65" s="11">
        <v>64</v>
      </c>
      <c r="F65" s="14" t="str">
        <f t="shared" si="0"/>
        <v>Манахов А.В.</v>
      </c>
      <c r="G65" s="11" t="s">
        <v>51</v>
      </c>
      <c r="H65" s="11" t="s">
        <v>304</v>
      </c>
      <c r="I65" s="18" t="s">
        <v>305</v>
      </c>
      <c r="J65" s="11" t="s">
        <v>23</v>
      </c>
      <c r="K65" s="11" t="s">
        <v>55</v>
      </c>
      <c r="L65" s="11" t="s">
        <v>301</v>
      </c>
      <c r="M65" s="11" t="s">
        <v>26</v>
      </c>
      <c r="N65" s="11" t="s">
        <v>304</v>
      </c>
      <c r="O65" s="11"/>
      <c r="P65" s="11"/>
    </row>
    <row r="66" spans="1:16" x14ac:dyDescent="0.25">
      <c r="A66" s="10">
        <v>128</v>
      </c>
      <c r="B66" s="11" t="s">
        <v>306</v>
      </c>
      <c r="C66" s="11" t="s">
        <v>83</v>
      </c>
      <c r="D66" s="11" t="s">
        <v>20</v>
      </c>
      <c r="E66" s="11">
        <v>65</v>
      </c>
      <c r="F66" s="14" t="str">
        <f t="shared" si="0"/>
        <v>Манин Е.В.</v>
      </c>
      <c r="G66" s="11"/>
      <c r="H66" s="11" t="s">
        <v>307</v>
      </c>
      <c r="I66" s="18" t="s">
        <v>308</v>
      </c>
      <c r="J66" s="11" t="s">
        <v>23</v>
      </c>
      <c r="K66" s="11" t="s">
        <v>55</v>
      </c>
      <c r="L66" s="11" t="s">
        <v>309</v>
      </c>
      <c r="M66" s="11" t="s">
        <v>26</v>
      </c>
      <c r="N66" s="11" t="s">
        <v>307</v>
      </c>
      <c r="O66" s="11"/>
      <c r="P66" s="11"/>
    </row>
    <row r="67" spans="1:16" x14ac:dyDescent="0.25">
      <c r="A67" s="10">
        <v>120</v>
      </c>
      <c r="B67" s="11" t="s">
        <v>310</v>
      </c>
      <c r="C67" s="11" t="s">
        <v>83</v>
      </c>
      <c r="D67" s="11" t="s">
        <v>20</v>
      </c>
      <c r="E67" s="11">
        <v>66</v>
      </c>
      <c r="F67" s="14" t="str">
        <f t="shared" si="0"/>
        <v>Маслова О.А.</v>
      </c>
      <c r="G67" s="11"/>
      <c r="H67" s="11" t="s">
        <v>311</v>
      </c>
      <c r="I67" s="18" t="s">
        <v>312</v>
      </c>
      <c r="J67" s="11" t="s">
        <v>23</v>
      </c>
      <c r="K67" s="11" t="s">
        <v>55</v>
      </c>
      <c r="L67" s="11" t="s">
        <v>313</v>
      </c>
      <c r="M67" s="11" t="s">
        <v>26</v>
      </c>
      <c r="N67" s="11" t="s">
        <v>311</v>
      </c>
      <c r="O67" s="11"/>
      <c r="P67" s="11"/>
    </row>
    <row r="68" spans="1:16" x14ac:dyDescent="0.25">
      <c r="A68" s="10">
        <v>225</v>
      </c>
      <c r="B68" s="11" t="s">
        <v>314</v>
      </c>
      <c r="C68" s="11" t="s">
        <v>315</v>
      </c>
      <c r="D68" s="11" t="s">
        <v>20</v>
      </c>
      <c r="E68" s="11">
        <v>67</v>
      </c>
      <c r="F68" s="14" t="str">
        <f t="shared" si="0"/>
        <v>Медянникова К.В.</v>
      </c>
      <c r="G68" s="11" t="s">
        <v>316</v>
      </c>
      <c r="H68" s="11" t="s">
        <v>317</v>
      </c>
      <c r="I68" s="11"/>
      <c r="J68" s="11" t="s">
        <v>23</v>
      </c>
      <c r="K68" s="11" t="s">
        <v>24</v>
      </c>
      <c r="L68" s="11" t="s">
        <v>318</v>
      </c>
      <c r="M68" s="11" t="s">
        <v>26</v>
      </c>
      <c r="N68" s="11" t="s">
        <v>317</v>
      </c>
      <c r="O68" s="18" t="s">
        <v>319</v>
      </c>
      <c r="P68" s="11"/>
    </row>
    <row r="69" spans="1:16" x14ac:dyDescent="0.25">
      <c r="A69" s="10">
        <v>194</v>
      </c>
      <c r="B69" s="11" t="s">
        <v>320</v>
      </c>
      <c r="C69" s="11" t="s">
        <v>46</v>
      </c>
      <c r="D69" s="11" t="s">
        <v>20</v>
      </c>
      <c r="E69" s="11">
        <v>68</v>
      </c>
      <c r="F69" s="14" t="str">
        <f t="shared" si="0"/>
        <v>Михайленко В.Л.</v>
      </c>
      <c r="G69" s="11"/>
      <c r="H69" s="11"/>
      <c r="I69" s="18" t="s">
        <v>321</v>
      </c>
      <c r="J69" s="11" t="s">
        <v>23</v>
      </c>
      <c r="K69" s="11" t="s">
        <v>39</v>
      </c>
      <c r="L69" s="11" t="s">
        <v>257</v>
      </c>
      <c r="M69" s="11" t="s">
        <v>26</v>
      </c>
      <c r="N69" s="11" t="s">
        <v>322</v>
      </c>
      <c r="O69" s="11"/>
      <c r="P69" s="11"/>
    </row>
    <row r="70" spans="1:16" x14ac:dyDescent="0.25">
      <c r="A70" s="10">
        <v>173</v>
      </c>
      <c r="B70" s="11" t="s">
        <v>323</v>
      </c>
      <c r="C70" s="11" t="s">
        <v>19</v>
      </c>
      <c r="D70" s="11" t="s">
        <v>20</v>
      </c>
      <c r="E70" s="11">
        <v>69</v>
      </c>
      <c r="F70" s="14" t="str">
        <f t="shared" si="0"/>
        <v>Мустафин Р.Р.</v>
      </c>
      <c r="G70" s="11"/>
      <c r="H70" s="11" t="s">
        <v>324</v>
      </c>
      <c r="I70" s="18" t="s">
        <v>325</v>
      </c>
      <c r="J70" s="11" t="s">
        <v>23</v>
      </c>
      <c r="K70" s="11" t="s">
        <v>55</v>
      </c>
      <c r="L70" s="11" t="s">
        <v>25</v>
      </c>
      <c r="M70" s="11" t="s">
        <v>26</v>
      </c>
      <c r="N70" s="11" t="s">
        <v>326</v>
      </c>
      <c r="O70" s="18" t="s">
        <v>327</v>
      </c>
      <c r="P70" s="11"/>
    </row>
    <row r="71" spans="1:16" x14ac:dyDescent="0.25">
      <c r="A71" s="10">
        <v>105</v>
      </c>
      <c r="B71" s="11" t="s">
        <v>328</v>
      </c>
      <c r="C71" s="11" t="s">
        <v>58</v>
      </c>
      <c r="D71" s="11" t="s">
        <v>20</v>
      </c>
      <c r="E71" s="11">
        <v>70</v>
      </c>
      <c r="F71" s="14" t="str">
        <f t="shared" si="0"/>
        <v>Насырзянов Н.И.</v>
      </c>
      <c r="G71" s="11" t="s">
        <v>59</v>
      </c>
      <c r="H71" s="11" t="s">
        <v>329</v>
      </c>
      <c r="I71" s="18" t="s">
        <v>330</v>
      </c>
      <c r="J71" s="11" t="s">
        <v>23</v>
      </c>
      <c r="K71" s="11" t="s">
        <v>55</v>
      </c>
      <c r="L71" s="11" t="s">
        <v>331</v>
      </c>
      <c r="M71" s="11" t="s">
        <v>26</v>
      </c>
      <c r="N71" s="11" t="s">
        <v>329</v>
      </c>
      <c r="O71" s="11"/>
      <c r="P71" s="11"/>
    </row>
    <row r="72" spans="1:16" x14ac:dyDescent="0.25">
      <c r="A72" s="10">
        <v>81</v>
      </c>
      <c r="B72" s="11" t="s">
        <v>332</v>
      </c>
      <c r="C72" s="11" t="s">
        <v>333</v>
      </c>
      <c r="D72" s="11" t="s">
        <v>36</v>
      </c>
      <c r="E72" s="11">
        <v>71</v>
      </c>
      <c r="F72" s="14" t="str">
        <f t="shared" si="0"/>
        <v>Нестеренко С.П.</v>
      </c>
      <c r="G72" s="11" t="s">
        <v>332</v>
      </c>
      <c r="H72" s="11" t="s">
        <v>334</v>
      </c>
      <c r="I72" s="18" t="s">
        <v>335</v>
      </c>
      <c r="J72" s="11" t="s">
        <v>23</v>
      </c>
      <c r="K72" s="11" t="s">
        <v>24</v>
      </c>
      <c r="L72" s="11" t="s">
        <v>336</v>
      </c>
      <c r="M72" s="11" t="s">
        <v>26</v>
      </c>
      <c r="N72" s="11" t="s">
        <v>334</v>
      </c>
      <c r="O72" s="11"/>
      <c r="P72" s="11"/>
    </row>
    <row r="73" spans="1:16" x14ac:dyDescent="0.25">
      <c r="A73" s="10">
        <v>71</v>
      </c>
      <c r="B73" s="11" t="s">
        <v>337</v>
      </c>
      <c r="C73" s="11" t="s">
        <v>19</v>
      </c>
      <c r="D73" s="11" t="s">
        <v>20</v>
      </c>
      <c r="E73" s="11">
        <v>72</v>
      </c>
      <c r="F73" s="14" t="str">
        <f t="shared" si="0"/>
        <v>Нигомедзянов В.Р.</v>
      </c>
      <c r="G73" s="11"/>
      <c r="H73" s="11" t="s">
        <v>338</v>
      </c>
      <c r="I73" s="18" t="s">
        <v>339</v>
      </c>
      <c r="J73" s="11" t="s">
        <v>23</v>
      </c>
      <c r="K73" s="11" t="s">
        <v>55</v>
      </c>
      <c r="L73" s="11" t="s">
        <v>106</v>
      </c>
      <c r="M73" s="11" t="s">
        <v>26</v>
      </c>
      <c r="N73" s="11" t="s">
        <v>338</v>
      </c>
      <c r="O73" s="11"/>
      <c r="P73" s="11"/>
    </row>
    <row r="74" spans="1:16" x14ac:dyDescent="0.25">
      <c r="A74" s="10">
        <v>162</v>
      </c>
      <c r="B74" s="11" t="s">
        <v>340</v>
      </c>
      <c r="C74" s="11" t="s">
        <v>249</v>
      </c>
      <c r="D74" s="11" t="s">
        <v>20</v>
      </c>
      <c r="E74" s="11">
        <v>73</v>
      </c>
      <c r="F74" s="14" t="str">
        <f t="shared" si="0"/>
        <v>Новиков В.В.</v>
      </c>
      <c r="G74" s="11"/>
      <c r="H74" s="11" t="s">
        <v>341</v>
      </c>
      <c r="I74" s="18" t="s">
        <v>342</v>
      </c>
      <c r="J74" s="11" t="s">
        <v>23</v>
      </c>
      <c r="K74" s="11" t="s">
        <v>256</v>
      </c>
      <c r="L74" s="11" t="s">
        <v>343</v>
      </c>
      <c r="M74" s="11" t="s">
        <v>26</v>
      </c>
      <c r="N74" s="11" t="s">
        <v>344</v>
      </c>
      <c r="O74" s="18" t="s">
        <v>345</v>
      </c>
      <c r="P74" s="11"/>
    </row>
    <row r="75" spans="1:16" x14ac:dyDescent="0.25">
      <c r="A75" s="10">
        <v>262</v>
      </c>
      <c r="B75" s="11" t="s">
        <v>346</v>
      </c>
      <c r="C75" s="11" t="s">
        <v>35</v>
      </c>
      <c r="D75" s="11" t="s">
        <v>20</v>
      </c>
      <c r="E75" s="11">
        <v>74</v>
      </c>
      <c r="F75" s="14" t="str">
        <f t="shared" si="0"/>
        <v>Охотин Д.Ю.</v>
      </c>
      <c r="G75" s="11" t="s">
        <v>34</v>
      </c>
      <c r="H75" s="11" t="s">
        <v>347</v>
      </c>
      <c r="I75" s="18" t="s">
        <v>348</v>
      </c>
      <c r="J75" s="11" t="s">
        <v>23</v>
      </c>
      <c r="K75" s="11" t="s">
        <v>39</v>
      </c>
      <c r="L75" s="11" t="s">
        <v>349</v>
      </c>
      <c r="M75" s="11" t="s">
        <v>26</v>
      </c>
      <c r="N75" s="11" t="s">
        <v>350</v>
      </c>
      <c r="O75" s="11" t="s">
        <v>350</v>
      </c>
      <c r="P75" s="11"/>
    </row>
    <row r="76" spans="1:16" x14ac:dyDescent="0.25">
      <c r="A76" s="10">
        <v>127</v>
      </c>
      <c r="B76" s="11" t="s">
        <v>351</v>
      </c>
      <c r="C76" s="11" t="s">
        <v>83</v>
      </c>
      <c r="D76" s="11" t="s">
        <v>20</v>
      </c>
      <c r="E76" s="11">
        <v>75</v>
      </c>
      <c r="F76" s="14" t="str">
        <f t="shared" si="0"/>
        <v>Плаксин А.В.</v>
      </c>
      <c r="G76" s="11"/>
      <c r="H76" s="11" t="s">
        <v>352</v>
      </c>
      <c r="I76" s="18" t="s">
        <v>353</v>
      </c>
      <c r="J76" s="11" t="s">
        <v>23</v>
      </c>
      <c r="K76" s="11" t="s">
        <v>55</v>
      </c>
      <c r="L76" s="11" t="s">
        <v>86</v>
      </c>
      <c r="M76" s="11" t="s">
        <v>26</v>
      </c>
      <c r="N76" s="11" t="s">
        <v>352</v>
      </c>
      <c r="O76" s="11"/>
      <c r="P76" s="11"/>
    </row>
    <row r="77" spans="1:16" x14ac:dyDescent="0.25">
      <c r="A77" s="10">
        <v>77</v>
      </c>
      <c r="B77" s="11" t="s">
        <v>30</v>
      </c>
      <c r="C77" s="11" t="s">
        <v>29</v>
      </c>
      <c r="D77" s="11" t="s">
        <v>36</v>
      </c>
      <c r="E77" s="11">
        <v>76</v>
      </c>
      <c r="F77" s="14" t="str">
        <f t="shared" si="0"/>
        <v>Прасолова В.А.</v>
      </c>
      <c r="G77" s="11" t="s">
        <v>30</v>
      </c>
      <c r="H77" s="11" t="s">
        <v>354</v>
      </c>
      <c r="I77" s="18" t="s">
        <v>355</v>
      </c>
      <c r="J77" s="11" t="s">
        <v>23</v>
      </c>
      <c r="K77" s="11" t="s">
        <v>24</v>
      </c>
      <c r="L77" s="11" t="s">
        <v>356</v>
      </c>
      <c r="M77" s="11" t="s">
        <v>26</v>
      </c>
      <c r="N77" s="11" t="s">
        <v>357</v>
      </c>
      <c r="O77" s="11"/>
      <c r="P77" s="18" t="s">
        <v>102</v>
      </c>
    </row>
    <row r="78" spans="1:16" x14ac:dyDescent="0.25">
      <c r="A78" s="10">
        <v>193</v>
      </c>
      <c r="B78" s="11" t="s">
        <v>358</v>
      </c>
      <c r="C78" s="11" t="s">
        <v>46</v>
      </c>
      <c r="D78" s="11" t="s">
        <v>20</v>
      </c>
      <c r="E78" s="11">
        <v>77</v>
      </c>
      <c r="F78" s="14" t="str">
        <f t="shared" si="0"/>
        <v>Приндин Я.О.</v>
      </c>
      <c r="G78" s="11"/>
      <c r="H78" s="11"/>
      <c r="I78" s="18" t="s">
        <v>359</v>
      </c>
      <c r="J78" s="11" t="s">
        <v>23</v>
      </c>
      <c r="K78" s="11" t="s">
        <v>39</v>
      </c>
      <c r="L78" s="11" t="s">
        <v>343</v>
      </c>
      <c r="M78" s="11" t="s">
        <v>26</v>
      </c>
      <c r="N78" s="11" t="s">
        <v>360</v>
      </c>
      <c r="O78" s="18" t="s">
        <v>361</v>
      </c>
      <c r="P78" s="11"/>
    </row>
    <row r="79" spans="1:16" x14ac:dyDescent="0.25">
      <c r="A79" s="10">
        <v>75</v>
      </c>
      <c r="B79" s="11" t="s">
        <v>362</v>
      </c>
      <c r="C79" s="11" t="s">
        <v>83</v>
      </c>
      <c r="D79" s="11" t="s">
        <v>20</v>
      </c>
      <c r="E79" s="11">
        <v>78</v>
      </c>
      <c r="F79" s="14" t="str">
        <f t="shared" si="0"/>
        <v>Проскуряков А.Н.</v>
      </c>
      <c r="G79" s="11"/>
      <c r="H79" s="11" t="s">
        <v>363</v>
      </c>
      <c r="I79" s="18" t="s">
        <v>364</v>
      </c>
      <c r="J79" s="11" t="s">
        <v>23</v>
      </c>
      <c r="K79" s="11" t="s">
        <v>24</v>
      </c>
      <c r="L79" s="11" t="s">
        <v>86</v>
      </c>
      <c r="M79" s="11" t="s">
        <v>26</v>
      </c>
      <c r="N79" s="11" t="s">
        <v>363</v>
      </c>
      <c r="O79" s="11"/>
      <c r="P79" s="11"/>
    </row>
    <row r="80" spans="1:16" x14ac:dyDescent="0.25">
      <c r="A80" s="10">
        <v>76</v>
      </c>
      <c r="B80" s="11" t="s">
        <v>365</v>
      </c>
      <c r="C80" s="11" t="s">
        <v>70</v>
      </c>
      <c r="D80" s="11" t="s">
        <v>20</v>
      </c>
      <c r="E80" s="11">
        <v>79</v>
      </c>
      <c r="F80" s="14" t="str">
        <f t="shared" si="0"/>
        <v>Разживин С.А.</v>
      </c>
      <c r="G80" s="11"/>
      <c r="H80" s="11" t="s">
        <v>366</v>
      </c>
      <c r="I80" s="18" t="s">
        <v>367</v>
      </c>
      <c r="J80" s="11" t="s">
        <v>23</v>
      </c>
      <c r="K80" s="11" t="s">
        <v>24</v>
      </c>
      <c r="L80" s="11" t="s">
        <v>48</v>
      </c>
      <c r="M80" s="11" t="s">
        <v>26</v>
      </c>
      <c r="N80" s="11" t="s">
        <v>366</v>
      </c>
      <c r="O80" s="18" t="s">
        <v>368</v>
      </c>
      <c r="P80" s="11"/>
    </row>
    <row r="81" spans="1:16" x14ac:dyDescent="0.25">
      <c r="A81" s="10">
        <v>243</v>
      </c>
      <c r="B81" s="11" t="s">
        <v>369</v>
      </c>
      <c r="C81" s="11" t="s">
        <v>88</v>
      </c>
      <c r="D81" s="11" t="s">
        <v>20</v>
      </c>
      <c r="E81" s="11">
        <v>80</v>
      </c>
      <c r="F81" s="14" t="str">
        <f t="shared" si="0"/>
        <v>Рамазанова А.В.</v>
      </c>
      <c r="G81" s="11"/>
      <c r="H81" s="11" t="s">
        <v>370</v>
      </c>
      <c r="I81" s="18" t="s">
        <v>371</v>
      </c>
      <c r="J81" s="11" t="s">
        <v>23</v>
      </c>
      <c r="K81" s="11" t="s">
        <v>24</v>
      </c>
      <c r="L81" s="11" t="s">
        <v>372</v>
      </c>
      <c r="M81" s="11" t="s">
        <v>26</v>
      </c>
      <c r="N81" s="11" t="s">
        <v>370</v>
      </c>
      <c r="O81" s="11"/>
      <c r="P81" s="11"/>
    </row>
    <row r="82" spans="1:16" x14ac:dyDescent="0.25">
      <c r="A82" s="10">
        <v>212</v>
      </c>
      <c r="B82" s="11" t="s">
        <v>373</v>
      </c>
      <c r="C82" s="11" t="s">
        <v>19</v>
      </c>
      <c r="D82" s="11" t="s">
        <v>20</v>
      </c>
      <c r="E82" s="11">
        <v>81</v>
      </c>
      <c r="F82" s="14" t="str">
        <f t="shared" si="0"/>
        <v>Рахимов Р.А.</v>
      </c>
      <c r="G82" s="11"/>
      <c r="H82" s="11" t="s">
        <v>374</v>
      </c>
      <c r="I82" s="18" t="s">
        <v>375</v>
      </c>
      <c r="J82" s="11" t="s">
        <v>23</v>
      </c>
      <c r="K82" s="11" t="s">
        <v>55</v>
      </c>
      <c r="L82" s="11" t="s">
        <v>225</v>
      </c>
      <c r="M82" s="11" t="s">
        <v>376</v>
      </c>
      <c r="N82" s="11" t="s">
        <v>374</v>
      </c>
      <c r="O82" s="11" t="s">
        <v>377</v>
      </c>
      <c r="P82" s="11"/>
    </row>
    <row r="83" spans="1:16" x14ac:dyDescent="0.25">
      <c r="A83" s="10">
        <v>99</v>
      </c>
      <c r="B83" s="11" t="s">
        <v>378</v>
      </c>
      <c r="C83" s="11" t="s">
        <v>88</v>
      </c>
      <c r="D83" s="11" t="s">
        <v>20</v>
      </c>
      <c r="E83" s="11">
        <v>82</v>
      </c>
      <c r="F83" s="14" t="str">
        <f t="shared" si="0"/>
        <v>Ротач Р.Р.</v>
      </c>
      <c r="G83" s="11"/>
      <c r="H83" s="11" t="s">
        <v>379</v>
      </c>
      <c r="I83" s="18" t="s">
        <v>380</v>
      </c>
      <c r="J83" s="11" t="s">
        <v>23</v>
      </c>
      <c r="K83" s="11" t="s">
        <v>55</v>
      </c>
      <c r="L83" s="11" t="s">
        <v>381</v>
      </c>
      <c r="M83" s="11" t="s">
        <v>228</v>
      </c>
      <c r="N83" s="11" t="s">
        <v>379</v>
      </c>
      <c r="O83" s="11"/>
      <c r="P83" s="11"/>
    </row>
    <row r="84" spans="1:16" x14ac:dyDescent="0.25">
      <c r="A84" s="10">
        <v>197</v>
      </c>
      <c r="B84" s="11" t="s">
        <v>382</v>
      </c>
      <c r="C84" s="11" t="s">
        <v>46</v>
      </c>
      <c r="D84" s="11" t="s">
        <v>20</v>
      </c>
      <c r="E84" s="11">
        <v>83</v>
      </c>
      <c r="F84" s="14" t="str">
        <f t="shared" si="0"/>
        <v>Рушинцев С.А.</v>
      </c>
      <c r="G84" s="11"/>
      <c r="H84" s="11"/>
      <c r="I84" s="18" t="s">
        <v>383</v>
      </c>
      <c r="J84" s="11" t="s">
        <v>23</v>
      </c>
      <c r="K84" s="11" t="s">
        <v>39</v>
      </c>
      <c r="L84" s="11" t="s">
        <v>343</v>
      </c>
      <c r="M84" s="11" t="s">
        <v>376</v>
      </c>
      <c r="N84" s="11" t="s">
        <v>384</v>
      </c>
      <c r="O84" s="11"/>
      <c r="P84" s="11"/>
    </row>
    <row r="85" spans="1:16" x14ac:dyDescent="0.25">
      <c r="A85" s="10">
        <v>333</v>
      </c>
      <c r="B85" s="11" t="s">
        <v>385</v>
      </c>
      <c r="C85" s="11" t="s">
        <v>108</v>
      </c>
      <c r="D85" s="11" t="s">
        <v>20</v>
      </c>
      <c r="E85" s="11">
        <v>84</v>
      </c>
      <c r="F85" s="14" t="str">
        <f t="shared" si="0"/>
        <v>Сабиров А.М.</v>
      </c>
      <c r="G85" s="11"/>
      <c r="H85" s="11" t="s">
        <v>386</v>
      </c>
      <c r="I85" s="18" t="s">
        <v>387</v>
      </c>
      <c r="J85" s="11" t="s">
        <v>23</v>
      </c>
      <c r="K85" s="11" t="s">
        <v>55</v>
      </c>
      <c r="L85" s="11" t="s">
        <v>388</v>
      </c>
      <c r="M85" s="11" t="s">
        <v>26</v>
      </c>
      <c r="N85" s="11" t="s">
        <v>386</v>
      </c>
      <c r="O85" s="11"/>
      <c r="P85" s="11"/>
    </row>
    <row r="86" spans="1:16" x14ac:dyDescent="0.25">
      <c r="A86" s="10">
        <v>172</v>
      </c>
      <c r="B86" s="11" t="s">
        <v>389</v>
      </c>
      <c r="C86" s="11" t="s">
        <v>19</v>
      </c>
      <c r="D86" s="11" t="s">
        <v>20</v>
      </c>
      <c r="E86" s="11">
        <v>85</v>
      </c>
      <c r="F86" s="14" t="str">
        <f t="shared" si="0"/>
        <v>Сатаров Н.И.</v>
      </c>
      <c r="G86" s="11"/>
      <c r="H86" s="11" t="s">
        <v>390</v>
      </c>
      <c r="I86" s="18" t="s">
        <v>391</v>
      </c>
      <c r="J86" s="11" t="s">
        <v>23</v>
      </c>
      <c r="K86" s="11" t="s">
        <v>55</v>
      </c>
      <c r="L86" s="11" t="s">
        <v>25</v>
      </c>
      <c r="M86" s="11" t="s">
        <v>376</v>
      </c>
      <c r="N86" s="11" t="s">
        <v>392</v>
      </c>
      <c r="O86" s="11"/>
      <c r="P86" s="11"/>
    </row>
    <row r="87" spans="1:16" x14ac:dyDescent="0.25">
      <c r="A87" s="10">
        <v>73</v>
      </c>
      <c r="B87" s="11" t="s">
        <v>393</v>
      </c>
      <c r="C87" s="11" t="s">
        <v>70</v>
      </c>
      <c r="D87" s="11" t="s">
        <v>20</v>
      </c>
      <c r="E87" s="11">
        <v>86</v>
      </c>
      <c r="F87" s="14" t="str">
        <f t="shared" si="0"/>
        <v>Сергеев А.Н.</v>
      </c>
      <c r="G87" s="11"/>
      <c r="H87" s="11" t="s">
        <v>394</v>
      </c>
      <c r="I87" s="18" t="s">
        <v>395</v>
      </c>
      <c r="J87" s="11" t="s">
        <v>23</v>
      </c>
      <c r="K87" s="11" t="s">
        <v>24</v>
      </c>
      <c r="L87" s="11" t="s">
        <v>396</v>
      </c>
      <c r="M87" s="11" t="s">
        <v>26</v>
      </c>
      <c r="N87" s="11" t="s">
        <v>394</v>
      </c>
      <c r="O87" s="11"/>
      <c r="P87" s="18" t="s">
        <v>68</v>
      </c>
    </row>
    <row r="88" spans="1:16" x14ac:dyDescent="0.25">
      <c r="A88" s="10">
        <v>79</v>
      </c>
      <c r="B88" s="11" t="s">
        <v>109</v>
      </c>
      <c r="C88" s="11" t="s">
        <v>108</v>
      </c>
      <c r="D88" s="11" t="s">
        <v>36</v>
      </c>
      <c r="E88" s="11">
        <v>87</v>
      </c>
      <c r="F88" s="14" t="str">
        <f t="shared" si="0"/>
        <v>Серебрякова И.Н.</v>
      </c>
      <c r="G88" s="11" t="s">
        <v>109</v>
      </c>
      <c r="H88" s="11" t="s">
        <v>397</v>
      </c>
      <c r="I88" s="18" t="s">
        <v>398</v>
      </c>
      <c r="J88" s="11" t="s">
        <v>23</v>
      </c>
      <c r="K88" s="11" t="s">
        <v>24</v>
      </c>
      <c r="L88" s="11" t="s">
        <v>399</v>
      </c>
      <c r="M88" s="11" t="s">
        <v>26</v>
      </c>
      <c r="N88" s="11" t="s">
        <v>400</v>
      </c>
      <c r="O88" s="11"/>
      <c r="P88" s="18" t="s">
        <v>401</v>
      </c>
    </row>
    <row r="89" spans="1:16" x14ac:dyDescent="0.25">
      <c r="A89" s="10">
        <v>305</v>
      </c>
      <c r="B89" s="11" t="s">
        <v>402</v>
      </c>
      <c r="C89" s="11" t="s">
        <v>70</v>
      </c>
      <c r="D89" s="11" t="s">
        <v>20</v>
      </c>
      <c r="E89" s="11">
        <v>88</v>
      </c>
      <c r="F89" s="14" t="str">
        <f t="shared" si="0"/>
        <v>Сидоренко С.Н.</v>
      </c>
      <c r="G89" s="11"/>
      <c r="H89" s="11" t="s">
        <v>403</v>
      </c>
      <c r="I89" s="18" t="s">
        <v>404</v>
      </c>
      <c r="J89" s="11" t="s">
        <v>23</v>
      </c>
      <c r="K89" s="11" t="s">
        <v>24</v>
      </c>
      <c r="L89" s="11" t="s">
        <v>48</v>
      </c>
      <c r="M89" s="11" t="s">
        <v>26</v>
      </c>
      <c r="N89" s="11" t="s">
        <v>405</v>
      </c>
      <c r="O89" s="11"/>
      <c r="P89" s="11"/>
    </row>
    <row r="90" spans="1:16" x14ac:dyDescent="0.25">
      <c r="A90" s="10">
        <v>154</v>
      </c>
      <c r="B90" s="11" t="s">
        <v>406</v>
      </c>
      <c r="C90" s="11" t="s">
        <v>70</v>
      </c>
      <c r="D90" s="11" t="s">
        <v>20</v>
      </c>
      <c r="E90" s="11">
        <v>89</v>
      </c>
      <c r="F90" s="14" t="str">
        <f t="shared" si="0"/>
        <v>Сизинцев А.С.</v>
      </c>
      <c r="G90" s="11"/>
      <c r="H90" s="11" t="s">
        <v>407</v>
      </c>
      <c r="I90" s="18" t="s">
        <v>408</v>
      </c>
      <c r="J90" s="11" t="s">
        <v>23</v>
      </c>
      <c r="K90" s="11" t="s">
        <v>24</v>
      </c>
      <c r="L90" s="11" t="s">
        <v>48</v>
      </c>
      <c r="M90" s="11" t="s">
        <v>26</v>
      </c>
      <c r="N90" s="11" t="s">
        <v>407</v>
      </c>
      <c r="O90" s="11"/>
      <c r="P90" s="11"/>
    </row>
    <row r="91" spans="1:16" x14ac:dyDescent="0.25">
      <c r="A91" s="10">
        <v>111</v>
      </c>
      <c r="B91" s="11" t="s">
        <v>409</v>
      </c>
      <c r="C91" s="11" t="s">
        <v>70</v>
      </c>
      <c r="D91" s="11" t="s">
        <v>20</v>
      </c>
      <c r="E91" s="11">
        <v>90</v>
      </c>
      <c r="F91" s="14" t="str">
        <f t="shared" si="0"/>
        <v>Силачев А.А.</v>
      </c>
      <c r="G91" s="11"/>
      <c r="H91" s="11" t="s">
        <v>410</v>
      </c>
      <c r="I91" s="18" t="s">
        <v>411</v>
      </c>
      <c r="J91" s="11" t="s">
        <v>23</v>
      </c>
      <c r="K91" s="11" t="s">
        <v>256</v>
      </c>
      <c r="L91" s="11" t="s">
        <v>48</v>
      </c>
      <c r="M91" s="11" t="s">
        <v>26</v>
      </c>
      <c r="N91" s="11" t="s">
        <v>410</v>
      </c>
      <c r="O91" s="11"/>
      <c r="P91" s="11"/>
    </row>
    <row r="92" spans="1:16" x14ac:dyDescent="0.25">
      <c r="A92" s="10">
        <v>155</v>
      </c>
      <c r="B92" s="11" t="s">
        <v>412</v>
      </c>
      <c r="C92" s="11" t="s">
        <v>58</v>
      </c>
      <c r="D92" s="11" t="s">
        <v>20</v>
      </c>
      <c r="E92" s="11">
        <v>91</v>
      </c>
      <c r="F92" s="14" t="str">
        <f t="shared" si="0"/>
        <v>Синькова Т.Ю.</v>
      </c>
      <c r="G92" s="11" t="s">
        <v>59</v>
      </c>
      <c r="H92" s="11" t="s">
        <v>413</v>
      </c>
      <c r="I92" s="18" t="s">
        <v>414</v>
      </c>
      <c r="J92" s="11" t="s">
        <v>23</v>
      </c>
      <c r="K92" s="11" t="s">
        <v>24</v>
      </c>
      <c r="L92" s="11" t="s">
        <v>415</v>
      </c>
      <c r="M92" s="11" t="s">
        <v>26</v>
      </c>
      <c r="N92" s="11" t="s">
        <v>413</v>
      </c>
      <c r="O92" s="18" t="s">
        <v>416</v>
      </c>
      <c r="P92" s="11"/>
    </row>
    <row r="93" spans="1:16" x14ac:dyDescent="0.25">
      <c r="A93" s="10">
        <v>182</v>
      </c>
      <c r="B93" s="11" t="s">
        <v>417</v>
      </c>
      <c r="C93" s="11" t="s">
        <v>52</v>
      </c>
      <c r="D93" s="11" t="s">
        <v>20</v>
      </c>
      <c r="E93" s="11">
        <v>92</v>
      </c>
      <c r="F93" s="14" t="str">
        <f t="shared" si="0"/>
        <v>Слободянюк И.В.</v>
      </c>
      <c r="G93" s="11" t="s">
        <v>51</v>
      </c>
      <c r="H93" s="11" t="s">
        <v>418</v>
      </c>
      <c r="I93" s="18" t="s">
        <v>419</v>
      </c>
      <c r="J93" s="11" t="s">
        <v>23</v>
      </c>
      <c r="K93" s="11" t="s">
        <v>24</v>
      </c>
      <c r="L93" s="11" t="s">
        <v>123</v>
      </c>
      <c r="M93" s="11" t="s">
        <v>26</v>
      </c>
      <c r="N93" s="11" t="s">
        <v>418</v>
      </c>
      <c r="O93" s="11"/>
      <c r="P93" s="11"/>
    </row>
    <row r="94" spans="1:16" x14ac:dyDescent="0.25">
      <c r="A94" s="10">
        <v>334</v>
      </c>
      <c r="B94" s="11" t="s">
        <v>420</v>
      </c>
      <c r="C94" s="11" t="s">
        <v>19</v>
      </c>
      <c r="D94" s="11" t="s">
        <v>20</v>
      </c>
      <c r="E94" s="11">
        <v>93</v>
      </c>
      <c r="F94" s="14" t="str">
        <f t="shared" si="0"/>
        <v>Сулейманов А.А.</v>
      </c>
      <c r="G94" s="11"/>
      <c r="H94" s="11" t="s">
        <v>421</v>
      </c>
      <c r="I94" s="18" t="s">
        <v>422</v>
      </c>
      <c r="J94" s="11" t="s">
        <v>23</v>
      </c>
      <c r="K94" s="11" t="s">
        <v>55</v>
      </c>
      <c r="L94" s="11" t="s">
        <v>25</v>
      </c>
      <c r="M94" s="11" t="s">
        <v>26</v>
      </c>
      <c r="N94" s="11" t="s">
        <v>421</v>
      </c>
      <c r="O94" s="11"/>
      <c r="P94" s="11"/>
    </row>
    <row r="95" spans="1:16" x14ac:dyDescent="0.25">
      <c r="A95" s="10">
        <v>156</v>
      </c>
      <c r="B95" s="11" t="s">
        <v>236</v>
      </c>
      <c r="C95" s="11" t="s">
        <v>235</v>
      </c>
      <c r="D95" s="11" t="s">
        <v>36</v>
      </c>
      <c r="E95" s="11">
        <v>94</v>
      </c>
      <c r="F95" s="14" t="str">
        <f t="shared" si="0"/>
        <v>Султанова Р.Т.</v>
      </c>
      <c r="G95" s="11" t="s">
        <v>236</v>
      </c>
      <c r="H95" s="11" t="s">
        <v>423</v>
      </c>
      <c r="I95" s="18" t="s">
        <v>424</v>
      </c>
      <c r="J95" s="11" t="s">
        <v>23</v>
      </c>
      <c r="K95" s="11" t="s">
        <v>24</v>
      </c>
      <c r="L95" s="11" t="s">
        <v>425</v>
      </c>
      <c r="M95" s="11" t="s">
        <v>26</v>
      </c>
      <c r="N95" s="11" t="s">
        <v>426</v>
      </c>
      <c r="O95" s="18" t="s">
        <v>427</v>
      </c>
      <c r="P95" s="18" t="s">
        <v>68</v>
      </c>
    </row>
    <row r="96" spans="1:16" x14ac:dyDescent="0.25">
      <c r="A96" s="10">
        <v>69</v>
      </c>
      <c r="B96" s="11" t="s">
        <v>428</v>
      </c>
      <c r="C96" s="11" t="s">
        <v>93</v>
      </c>
      <c r="D96" s="11" t="s">
        <v>20</v>
      </c>
      <c r="E96" s="11">
        <v>95</v>
      </c>
      <c r="F96" s="14" t="str">
        <f t="shared" si="0"/>
        <v>Трефилов А.А.</v>
      </c>
      <c r="G96" s="11"/>
      <c r="H96" s="11" t="s">
        <v>429</v>
      </c>
      <c r="I96" s="18" t="s">
        <v>430</v>
      </c>
      <c r="J96" s="11" t="s">
        <v>23</v>
      </c>
      <c r="K96" s="11" t="s">
        <v>24</v>
      </c>
      <c r="L96" s="11" t="s">
        <v>48</v>
      </c>
      <c r="M96" s="11" t="s">
        <v>26</v>
      </c>
      <c r="N96" s="11" t="s">
        <v>429</v>
      </c>
      <c r="O96" s="11"/>
      <c r="P96" s="11"/>
    </row>
    <row r="97" spans="1:16" x14ac:dyDescent="0.25">
      <c r="A97" s="10">
        <v>311</v>
      </c>
      <c r="B97" s="11" t="s">
        <v>431</v>
      </c>
      <c r="C97" s="11" t="s">
        <v>19</v>
      </c>
      <c r="D97" s="11" t="s">
        <v>20</v>
      </c>
      <c r="E97" s="11">
        <v>96</v>
      </c>
      <c r="F97" s="14" t="str">
        <f t="shared" si="0"/>
        <v>Улитин Н.Н.</v>
      </c>
      <c r="G97" s="11"/>
      <c r="H97" s="11" t="s">
        <v>432</v>
      </c>
      <c r="I97" s="18" t="s">
        <v>433</v>
      </c>
      <c r="J97" s="11" t="s">
        <v>23</v>
      </c>
      <c r="K97" s="11" t="s">
        <v>55</v>
      </c>
      <c r="L97" s="11" t="s">
        <v>25</v>
      </c>
      <c r="M97" s="11" t="s">
        <v>26</v>
      </c>
      <c r="N97" s="11" t="s">
        <v>434</v>
      </c>
      <c r="O97" s="11"/>
      <c r="P97" s="11"/>
    </row>
    <row r="98" spans="1:16" x14ac:dyDescent="0.25">
      <c r="A98" s="10">
        <v>221</v>
      </c>
      <c r="B98" s="11" t="s">
        <v>435</v>
      </c>
      <c r="C98" s="11" t="s">
        <v>35</v>
      </c>
      <c r="D98" s="11" t="s">
        <v>20</v>
      </c>
      <c r="E98" s="11">
        <v>97</v>
      </c>
      <c r="F98" s="14" t="str">
        <f t="shared" si="0"/>
        <v>Файрушин Р.Р.</v>
      </c>
      <c r="G98" s="11"/>
      <c r="H98" s="11" t="s">
        <v>436</v>
      </c>
      <c r="I98" s="11"/>
      <c r="J98" s="11" t="s">
        <v>23</v>
      </c>
      <c r="K98" s="11" t="s">
        <v>24</v>
      </c>
      <c r="L98" s="11" t="s">
        <v>437</v>
      </c>
      <c r="M98" s="11" t="s">
        <v>26</v>
      </c>
      <c r="N98" s="11" t="s">
        <v>438</v>
      </c>
      <c r="O98" s="18" t="s">
        <v>439</v>
      </c>
      <c r="P98" s="11"/>
    </row>
    <row r="99" spans="1:16" x14ac:dyDescent="0.25">
      <c r="A99" s="10">
        <v>123</v>
      </c>
      <c r="B99" s="11" t="s">
        <v>440</v>
      </c>
      <c r="C99" s="11" t="s">
        <v>108</v>
      </c>
      <c r="D99" s="11" t="s">
        <v>20</v>
      </c>
      <c r="E99" s="11">
        <v>98</v>
      </c>
      <c r="F99" s="14" t="str">
        <f t="shared" si="0"/>
        <v>Файрушина О.А.</v>
      </c>
      <c r="G99" s="11" t="s">
        <v>109</v>
      </c>
      <c r="H99" s="11" t="s">
        <v>441</v>
      </c>
      <c r="I99" s="18" t="s">
        <v>442</v>
      </c>
      <c r="J99" s="11" t="s">
        <v>23</v>
      </c>
      <c r="K99" s="11" t="s">
        <v>24</v>
      </c>
      <c r="L99" s="11" t="s">
        <v>263</v>
      </c>
      <c r="M99" s="11" t="s">
        <v>26</v>
      </c>
      <c r="N99" s="11" t="s">
        <v>443</v>
      </c>
      <c r="O99" s="11"/>
      <c r="P99" s="18" t="s">
        <v>444</v>
      </c>
    </row>
    <row r="100" spans="1:16" x14ac:dyDescent="0.25">
      <c r="A100" s="10">
        <v>130</v>
      </c>
      <c r="B100" s="11" t="s">
        <v>445</v>
      </c>
      <c r="C100" s="11" t="s">
        <v>70</v>
      </c>
      <c r="D100" s="11" t="s">
        <v>20</v>
      </c>
      <c r="E100" s="11">
        <v>99</v>
      </c>
      <c r="F100" s="14" t="str">
        <f t="shared" si="0"/>
        <v>Фарахов И.Я.</v>
      </c>
      <c r="G100" s="11"/>
      <c r="H100" s="11" t="s">
        <v>446</v>
      </c>
      <c r="I100" s="18" t="s">
        <v>447</v>
      </c>
      <c r="J100" s="11" t="s">
        <v>23</v>
      </c>
      <c r="K100" s="11" t="s">
        <v>24</v>
      </c>
      <c r="L100" s="11" t="s">
        <v>154</v>
      </c>
      <c r="M100" s="11" t="s">
        <v>26</v>
      </c>
      <c r="N100" s="11" t="s">
        <v>446</v>
      </c>
      <c r="O100" s="18" t="s">
        <v>448</v>
      </c>
      <c r="P100" s="11"/>
    </row>
    <row r="101" spans="1:16" x14ac:dyDescent="0.25">
      <c r="A101" s="10">
        <v>184</v>
      </c>
      <c r="B101" s="11" t="s">
        <v>449</v>
      </c>
      <c r="C101" s="11" t="s">
        <v>52</v>
      </c>
      <c r="D101" s="11" t="s">
        <v>20</v>
      </c>
      <c r="E101" s="11">
        <v>100</v>
      </c>
      <c r="F101" s="14" t="str">
        <f t="shared" si="0"/>
        <v>Фатхуллина О.Р.</v>
      </c>
      <c r="G101" s="11" t="s">
        <v>51</v>
      </c>
      <c r="H101" s="11" t="s">
        <v>450</v>
      </c>
      <c r="I101" s="18" t="s">
        <v>451</v>
      </c>
      <c r="J101" s="11" t="s">
        <v>23</v>
      </c>
      <c r="K101" s="11" t="s">
        <v>24</v>
      </c>
      <c r="L101" s="11" t="s">
        <v>452</v>
      </c>
      <c r="M101" s="11" t="s">
        <v>26</v>
      </c>
      <c r="N101" s="11" t="s">
        <v>453</v>
      </c>
      <c r="O101" s="11"/>
      <c r="P101" s="11"/>
    </row>
    <row r="102" spans="1:16" x14ac:dyDescent="0.25">
      <c r="A102" s="10">
        <v>204</v>
      </c>
      <c r="B102" s="11" t="s">
        <v>454</v>
      </c>
      <c r="C102" s="11" t="s">
        <v>249</v>
      </c>
      <c r="D102" s="11" t="s">
        <v>20</v>
      </c>
      <c r="E102" s="11">
        <v>101</v>
      </c>
      <c r="F102" s="14" t="str">
        <f t="shared" si="0"/>
        <v>Фатыхов Р.В.</v>
      </c>
      <c r="G102" s="11"/>
      <c r="H102" s="11"/>
      <c r="I102" s="18" t="s">
        <v>455</v>
      </c>
      <c r="J102" s="11" t="s">
        <v>23</v>
      </c>
      <c r="K102" s="11" t="s">
        <v>73</v>
      </c>
      <c r="L102" s="11" t="s">
        <v>243</v>
      </c>
      <c r="M102" s="11" t="s">
        <v>26</v>
      </c>
      <c r="N102" s="11" t="s">
        <v>456</v>
      </c>
      <c r="O102" s="11"/>
      <c r="P102" s="11"/>
    </row>
    <row r="103" spans="1:16" x14ac:dyDescent="0.25">
      <c r="A103" s="10">
        <v>198</v>
      </c>
      <c r="B103" s="11" t="s">
        <v>457</v>
      </c>
      <c r="C103" s="11" t="s">
        <v>46</v>
      </c>
      <c r="D103" s="11" t="s">
        <v>20</v>
      </c>
      <c r="E103" s="11">
        <v>102</v>
      </c>
      <c r="F103" s="14" t="str">
        <f t="shared" si="0"/>
        <v>Хакимова Р.М.</v>
      </c>
      <c r="G103" s="11"/>
      <c r="H103" s="11"/>
      <c r="I103" s="11"/>
      <c r="J103" s="11" t="s">
        <v>23</v>
      </c>
      <c r="K103" s="11" t="s">
        <v>39</v>
      </c>
      <c r="L103" s="11" t="s">
        <v>243</v>
      </c>
      <c r="M103" s="11" t="s">
        <v>26</v>
      </c>
      <c r="N103" s="11" t="s">
        <v>458</v>
      </c>
      <c r="O103" s="18" t="s">
        <v>459</v>
      </c>
      <c r="P103" s="11"/>
    </row>
    <row r="104" spans="1:16" x14ac:dyDescent="0.25">
      <c r="A104" s="10">
        <v>89</v>
      </c>
      <c r="B104" s="11" t="s">
        <v>316</v>
      </c>
      <c r="C104" s="11" t="s">
        <v>315</v>
      </c>
      <c r="D104" s="11" t="s">
        <v>36</v>
      </c>
      <c r="E104" s="11">
        <v>103</v>
      </c>
      <c r="F104" s="14" t="str">
        <f t="shared" si="0"/>
        <v>Харисова Е.Ю.</v>
      </c>
      <c r="G104" s="11" t="s">
        <v>316</v>
      </c>
      <c r="H104" s="11" t="s">
        <v>460</v>
      </c>
      <c r="I104" s="18" t="s">
        <v>461</v>
      </c>
      <c r="J104" s="11" t="s">
        <v>23</v>
      </c>
      <c r="K104" s="11" t="s">
        <v>24</v>
      </c>
      <c r="L104" s="11" t="s">
        <v>462</v>
      </c>
      <c r="M104" s="11" t="s">
        <v>26</v>
      </c>
      <c r="N104" s="11" t="s">
        <v>463</v>
      </c>
      <c r="O104" s="11"/>
      <c r="P104" s="18" t="s">
        <v>464</v>
      </c>
    </row>
    <row r="105" spans="1:16" x14ac:dyDescent="0.25">
      <c r="A105" s="10">
        <v>316</v>
      </c>
      <c r="B105" s="11" t="s">
        <v>465</v>
      </c>
      <c r="C105" s="11" t="s">
        <v>249</v>
      </c>
      <c r="D105" s="11" t="s">
        <v>20</v>
      </c>
      <c r="E105" s="11">
        <v>104</v>
      </c>
      <c r="F105" s="14" t="str">
        <f t="shared" si="0"/>
        <v>Хасанов И.А.</v>
      </c>
      <c r="G105" s="11"/>
      <c r="H105" s="11"/>
      <c r="I105" s="18" t="s">
        <v>466</v>
      </c>
      <c r="J105" s="11" t="s">
        <v>23</v>
      </c>
      <c r="K105" s="11" t="s">
        <v>24</v>
      </c>
      <c r="L105" s="11" t="s">
        <v>467</v>
      </c>
      <c r="M105" s="11" t="s">
        <v>258</v>
      </c>
      <c r="N105" s="11" t="s">
        <v>468</v>
      </c>
      <c r="O105" s="11"/>
      <c r="P105" s="11"/>
    </row>
    <row r="106" spans="1:16" x14ac:dyDescent="0.25">
      <c r="A106" s="10">
        <v>323</v>
      </c>
      <c r="B106" s="11" t="s">
        <v>469</v>
      </c>
      <c r="C106" s="11" t="s">
        <v>249</v>
      </c>
      <c r="D106" s="11" t="s">
        <v>20</v>
      </c>
      <c r="E106" s="11">
        <v>105</v>
      </c>
      <c r="F106" s="14" t="str">
        <f t="shared" si="0"/>
        <v>Хусаинов А.И.</v>
      </c>
      <c r="G106" s="11"/>
      <c r="H106" s="11"/>
      <c r="I106" s="18" t="s">
        <v>470</v>
      </c>
      <c r="J106" s="11" t="s">
        <v>23</v>
      </c>
      <c r="K106" s="11" t="s">
        <v>73</v>
      </c>
      <c r="L106" s="11" t="s">
        <v>192</v>
      </c>
      <c r="M106" s="11" t="s">
        <v>26</v>
      </c>
      <c r="N106" s="11" t="s">
        <v>471</v>
      </c>
      <c r="O106" s="11"/>
      <c r="P106" s="11"/>
    </row>
    <row r="107" spans="1:16" x14ac:dyDescent="0.25">
      <c r="A107" s="10">
        <v>283</v>
      </c>
      <c r="B107" s="11" t="s">
        <v>472</v>
      </c>
      <c r="C107" s="11" t="s">
        <v>249</v>
      </c>
      <c r="D107" s="11" t="s">
        <v>20</v>
      </c>
      <c r="E107" s="11">
        <v>106</v>
      </c>
      <c r="F107" s="14" t="str">
        <f t="shared" si="0"/>
        <v>Шаврин Е.М.</v>
      </c>
      <c r="G107" s="11"/>
      <c r="H107" s="11"/>
      <c r="I107" s="11"/>
      <c r="J107" s="11" t="s">
        <v>23</v>
      </c>
      <c r="K107" s="11" t="s">
        <v>24</v>
      </c>
      <c r="L107" s="11" t="s">
        <v>473</v>
      </c>
      <c r="M107" s="11" t="s">
        <v>26</v>
      </c>
      <c r="N107" s="11" t="s">
        <v>474</v>
      </c>
      <c r="O107" s="18" t="s">
        <v>475</v>
      </c>
      <c r="P107" s="11"/>
    </row>
    <row r="108" spans="1:16" x14ac:dyDescent="0.25">
      <c r="A108" s="10">
        <v>165</v>
      </c>
      <c r="B108" s="11" t="s">
        <v>476</v>
      </c>
      <c r="C108" s="11" t="s">
        <v>249</v>
      </c>
      <c r="D108" s="11" t="s">
        <v>20</v>
      </c>
      <c r="E108" s="11">
        <v>107</v>
      </c>
      <c r="F108" s="14" t="str">
        <f t="shared" si="0"/>
        <v>Шайхутдинов Ф.Ф.</v>
      </c>
      <c r="G108" s="11"/>
      <c r="H108" s="11"/>
      <c r="I108" s="18" t="s">
        <v>477</v>
      </c>
      <c r="J108" s="11" t="s">
        <v>23</v>
      </c>
      <c r="K108" s="11" t="s">
        <v>73</v>
      </c>
      <c r="L108" s="11" t="s">
        <v>251</v>
      </c>
      <c r="M108" s="11" t="s">
        <v>26</v>
      </c>
      <c r="N108" s="11" t="s">
        <v>478</v>
      </c>
      <c r="O108" s="18" t="s">
        <v>479</v>
      </c>
      <c r="P108" s="11"/>
    </row>
    <row r="109" spans="1:16" x14ac:dyDescent="0.25">
      <c r="A109" s="10">
        <v>149</v>
      </c>
      <c r="B109" s="11" t="s">
        <v>480</v>
      </c>
      <c r="C109" s="11" t="s">
        <v>199</v>
      </c>
      <c r="D109" s="11" t="s">
        <v>20</v>
      </c>
      <c r="E109" s="11">
        <v>108</v>
      </c>
      <c r="F109" s="14" t="str">
        <f t="shared" si="0"/>
        <v>Шапкина Н.Н.</v>
      </c>
      <c r="G109" s="11" t="s">
        <v>198</v>
      </c>
      <c r="H109" s="11" t="s">
        <v>481</v>
      </c>
      <c r="I109" s="18" t="s">
        <v>482</v>
      </c>
      <c r="J109" s="11" t="s">
        <v>23</v>
      </c>
      <c r="K109" s="11" t="s">
        <v>24</v>
      </c>
      <c r="L109" s="11" t="s">
        <v>483</v>
      </c>
      <c r="M109" s="11" t="s">
        <v>26</v>
      </c>
      <c r="N109" s="11" t="s">
        <v>481</v>
      </c>
      <c r="O109" s="11"/>
      <c r="P109" s="18" t="s">
        <v>68</v>
      </c>
    </row>
    <row r="110" spans="1:16" x14ac:dyDescent="0.25">
      <c r="A110" s="10">
        <v>310</v>
      </c>
      <c r="B110" s="11" t="s">
        <v>484</v>
      </c>
      <c r="C110" s="11" t="s">
        <v>52</v>
      </c>
      <c r="D110" s="11" t="s">
        <v>20</v>
      </c>
      <c r="E110" s="11">
        <v>109</v>
      </c>
      <c r="F110" s="14" t="str">
        <f t="shared" si="0"/>
        <v>Шарипов Л.А.</v>
      </c>
      <c r="G110" s="11" t="s">
        <v>51</v>
      </c>
      <c r="H110" s="11" t="s">
        <v>485</v>
      </c>
      <c r="I110" s="18" t="s">
        <v>486</v>
      </c>
      <c r="J110" s="11" t="s">
        <v>23</v>
      </c>
      <c r="K110" s="11" t="s">
        <v>55</v>
      </c>
      <c r="L110" s="11" t="s">
        <v>281</v>
      </c>
      <c r="M110" s="11" t="s">
        <v>26</v>
      </c>
      <c r="N110" s="11" t="s">
        <v>487</v>
      </c>
      <c r="O110" s="11"/>
      <c r="P110" s="11"/>
    </row>
    <row r="111" spans="1:16" x14ac:dyDescent="0.25">
      <c r="A111" s="10">
        <v>174</v>
      </c>
      <c r="B111" s="11" t="s">
        <v>488</v>
      </c>
      <c r="C111" s="11" t="s">
        <v>19</v>
      </c>
      <c r="D111" s="11" t="s">
        <v>20</v>
      </c>
      <c r="E111" s="11">
        <v>110</v>
      </c>
      <c r="F111" s="14" t="str">
        <f t="shared" si="0"/>
        <v>Шафиков А.Ф.</v>
      </c>
      <c r="G111" s="11"/>
      <c r="H111" s="11" t="s">
        <v>489</v>
      </c>
      <c r="I111" s="18" t="s">
        <v>490</v>
      </c>
      <c r="J111" s="11" t="s">
        <v>23</v>
      </c>
      <c r="K111" s="11" t="s">
        <v>55</v>
      </c>
      <c r="L111" s="11" t="s">
        <v>25</v>
      </c>
      <c r="M111" s="11" t="s">
        <v>26</v>
      </c>
      <c r="N111" s="11" t="s">
        <v>491</v>
      </c>
      <c r="O111" s="11"/>
      <c r="P111" s="11"/>
    </row>
    <row r="112" spans="1:16" x14ac:dyDescent="0.25">
      <c r="A112" s="10">
        <v>94</v>
      </c>
      <c r="B112" s="11" t="s">
        <v>492</v>
      </c>
      <c r="C112" s="11" t="s">
        <v>83</v>
      </c>
      <c r="D112" s="11" t="s">
        <v>20</v>
      </c>
      <c r="E112" s="11">
        <v>111</v>
      </c>
      <c r="F112" s="14" t="str">
        <f t="shared" si="0"/>
        <v>Эмирусайинов Р.Б.</v>
      </c>
      <c r="G112" s="11"/>
      <c r="H112" s="11" t="s">
        <v>493</v>
      </c>
      <c r="I112" s="18" t="s">
        <v>494</v>
      </c>
      <c r="J112" s="11" t="s">
        <v>23</v>
      </c>
      <c r="K112" s="11" t="s">
        <v>55</v>
      </c>
      <c r="L112" s="11" t="s">
        <v>86</v>
      </c>
      <c r="M112" s="11" t="s">
        <v>26</v>
      </c>
      <c r="N112" s="11" t="s">
        <v>493</v>
      </c>
      <c r="O112" s="11"/>
      <c r="P112" s="11"/>
    </row>
  </sheetData>
  <autoFilter ref="A1:P112" xr:uid="{00000000-0009-0000-0000-000001000000}">
    <sortState xmlns:xlrd2="http://schemas.microsoft.com/office/spreadsheetml/2017/richdata2" ref="A2:P112">
      <sortCondition ref="B1:B112"/>
      <sortCondition ref="A1:A112"/>
    </sortState>
  </autoFilter>
  <dataValidations count="1">
    <dataValidation type="list" allowBlank="1" sqref="D2:D112" xr:uid="{00000000-0002-0000-0100-000000000000}">
      <formula1>"да,нет"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temp!$G$2:$G113</xm:f>
          </x14:formula1>
          <xm:sqref>C2:C112</xm:sqref>
        </x14:dataValidation>
        <x14:dataValidation type="list" allowBlank="1" xr:uid="{00000000-0002-0000-0100-000002000000}">
          <x14:formula1>
            <xm:f>temp!$A$2:$A113</xm:f>
          </x14:formula1>
          <xm:sqref>J2:J112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43"/>
  <sheetViews>
    <sheetView tabSelected="1" workbookViewId="0">
      <pane ySplit="2" topLeftCell="A3" activePane="bottomLeft" state="frozen"/>
      <selection pane="bottomLeft" activeCell="D2" sqref="D2"/>
    </sheetView>
  </sheetViews>
  <sheetFormatPr defaultColWidth="12.6640625" defaultRowHeight="15.75" customHeight="1" x14ac:dyDescent="0.25"/>
  <cols>
    <col min="1" max="1" width="18" customWidth="1"/>
    <col min="2" max="2" width="31.88671875" customWidth="1"/>
    <col min="3" max="3" width="16.109375" customWidth="1"/>
    <col min="4" max="4" width="15" customWidth="1"/>
    <col min="5" max="5" width="5.21875" customWidth="1"/>
    <col min="6" max="6" width="15.88671875" customWidth="1"/>
    <col min="7" max="7" width="27" customWidth="1"/>
    <col min="8" max="8" width="26.44140625" customWidth="1"/>
    <col min="9" max="9" width="15" customWidth="1"/>
    <col min="10" max="10" width="23.109375" customWidth="1"/>
    <col min="11" max="11" width="17.33203125" customWidth="1"/>
    <col min="12" max="12" width="45.77734375" customWidth="1"/>
    <col min="13" max="13" width="11.77734375" customWidth="1"/>
    <col min="14" max="14" width="19.77734375" customWidth="1"/>
    <col min="15" max="15" width="15" customWidth="1"/>
    <col min="16" max="16" width="18.109375" customWidth="1"/>
  </cols>
  <sheetData>
    <row r="1" spans="1:16" x14ac:dyDescent="0.25">
      <c r="A1" s="109" t="s">
        <v>0</v>
      </c>
      <c r="B1" s="110"/>
      <c r="C1" s="110"/>
      <c r="D1" s="110"/>
      <c r="E1" s="111"/>
      <c r="F1" s="3" t="s">
        <v>1</v>
      </c>
      <c r="G1" s="4">
        <f>COUNTIF(E3:E43,"&lt;&gt;" &amp; "")</f>
        <v>41</v>
      </c>
      <c r="H1" s="4"/>
      <c r="I1" s="4"/>
      <c r="J1" s="4"/>
      <c r="K1" s="5"/>
      <c r="L1" s="5"/>
      <c r="M1" s="5"/>
      <c r="N1" s="5"/>
      <c r="O1" s="5"/>
      <c r="P1" s="5"/>
    </row>
    <row r="2" spans="1:16" x14ac:dyDescent="0.25">
      <c r="A2" s="6" t="s">
        <v>2</v>
      </c>
      <c r="B2" s="7" t="s">
        <v>3</v>
      </c>
      <c r="C2" s="7" t="s">
        <v>4</v>
      </c>
      <c r="D2" s="6" t="s">
        <v>5</v>
      </c>
      <c r="E2" s="7" t="s">
        <v>6</v>
      </c>
      <c r="F2" s="7" t="s">
        <v>7</v>
      </c>
      <c r="G2" s="4" t="s">
        <v>8</v>
      </c>
      <c r="H2" s="8" t="s">
        <v>9</v>
      </c>
      <c r="I2" s="8" t="s">
        <v>10</v>
      </c>
      <c r="J2" s="9" t="s">
        <v>11</v>
      </c>
      <c r="K2" s="5" t="s">
        <v>12</v>
      </c>
      <c r="L2" s="9" t="s">
        <v>13</v>
      </c>
      <c r="M2" s="6" t="s">
        <v>14</v>
      </c>
      <c r="N2" s="6" t="s">
        <v>15</v>
      </c>
      <c r="O2" s="6" t="s">
        <v>16</v>
      </c>
      <c r="P2" s="6" t="s">
        <v>17</v>
      </c>
    </row>
    <row r="3" spans="1:16" x14ac:dyDescent="0.25">
      <c r="A3" s="11">
        <v>86</v>
      </c>
      <c r="B3" s="11" t="s">
        <v>495</v>
      </c>
      <c r="C3" s="11" t="s">
        <v>83</v>
      </c>
      <c r="D3" s="11" t="s">
        <v>20</v>
      </c>
      <c r="E3" s="10">
        <v>1</v>
      </c>
      <c r="F3" s="14" t="str">
        <f t="shared" ref="F3:F43" si="0">LEFT(B3,FIND(" ",B3,1)+1)&amp;"."&amp;MID(B3,FIND(" ",B3,FIND(" ",B3,1)+1)+1,1)&amp;"."</f>
        <v>Абдуллин Р.Р.</v>
      </c>
      <c r="G3" s="14"/>
      <c r="H3" s="11" t="s">
        <v>496</v>
      </c>
      <c r="I3" s="18" t="s">
        <v>497</v>
      </c>
      <c r="J3" s="11" t="s">
        <v>498</v>
      </c>
      <c r="K3" s="11" t="s">
        <v>24</v>
      </c>
      <c r="L3" s="11" t="s">
        <v>86</v>
      </c>
      <c r="M3" s="11" t="s">
        <v>26</v>
      </c>
      <c r="N3" s="11" t="s">
        <v>496</v>
      </c>
      <c r="O3" s="11"/>
      <c r="P3" s="14"/>
    </row>
    <row r="4" spans="1:16" x14ac:dyDescent="0.25">
      <c r="A4" s="11">
        <v>119</v>
      </c>
      <c r="B4" s="11" t="s">
        <v>499</v>
      </c>
      <c r="C4" s="11" t="s">
        <v>249</v>
      </c>
      <c r="D4" s="11" t="s">
        <v>20</v>
      </c>
      <c r="E4" s="10">
        <v>2</v>
      </c>
      <c r="F4" s="14" t="str">
        <f t="shared" si="0"/>
        <v>Андреев В.Н.</v>
      </c>
      <c r="G4" s="14"/>
      <c r="H4" s="11"/>
      <c r="I4" s="18" t="s">
        <v>500</v>
      </c>
      <c r="J4" s="11" t="s">
        <v>498</v>
      </c>
      <c r="K4" s="11" t="s">
        <v>501</v>
      </c>
      <c r="L4" s="11" t="s">
        <v>502</v>
      </c>
      <c r="M4" s="11" t="s">
        <v>258</v>
      </c>
      <c r="N4" s="11" t="s">
        <v>503</v>
      </c>
      <c r="O4" s="11"/>
      <c r="P4" s="14"/>
    </row>
    <row r="5" spans="1:16" x14ac:dyDescent="0.25">
      <c r="A5" s="11">
        <v>62</v>
      </c>
      <c r="B5" s="11" t="s">
        <v>504</v>
      </c>
      <c r="C5" s="11" t="s">
        <v>83</v>
      </c>
      <c r="D5" s="11" t="s">
        <v>20</v>
      </c>
      <c r="E5" s="10">
        <v>3</v>
      </c>
      <c r="F5" s="14" t="str">
        <f t="shared" si="0"/>
        <v>Андреев Ю.А.</v>
      </c>
      <c r="G5" s="14"/>
      <c r="H5" s="11" t="s">
        <v>505</v>
      </c>
      <c r="I5" s="11"/>
      <c r="J5" s="11" t="s">
        <v>498</v>
      </c>
      <c r="K5" s="11" t="s">
        <v>55</v>
      </c>
      <c r="L5" s="11" t="s">
        <v>86</v>
      </c>
      <c r="M5" s="11" t="s">
        <v>26</v>
      </c>
      <c r="N5" s="11" t="s">
        <v>506</v>
      </c>
      <c r="O5" s="18" t="s">
        <v>507</v>
      </c>
      <c r="P5" s="14"/>
    </row>
    <row r="6" spans="1:16" x14ac:dyDescent="0.25">
      <c r="A6" s="11">
        <v>91</v>
      </c>
      <c r="B6" s="11" t="s">
        <v>508</v>
      </c>
      <c r="C6" s="11" t="s">
        <v>88</v>
      </c>
      <c r="D6" s="11" t="s">
        <v>20</v>
      </c>
      <c r="E6" s="10">
        <v>4</v>
      </c>
      <c r="F6" s="14" t="str">
        <f t="shared" si="0"/>
        <v>Аухадиев Р.Б.</v>
      </c>
      <c r="G6" s="14"/>
      <c r="H6" s="11" t="s">
        <v>509</v>
      </c>
      <c r="I6" s="18" t="s">
        <v>510</v>
      </c>
      <c r="J6" s="11" t="s">
        <v>498</v>
      </c>
      <c r="K6" s="11" t="s">
        <v>55</v>
      </c>
      <c r="L6" s="11" t="s">
        <v>511</v>
      </c>
      <c r="M6" s="11" t="s">
        <v>26</v>
      </c>
      <c r="N6" s="11" t="s">
        <v>509</v>
      </c>
      <c r="O6" s="11"/>
      <c r="P6" s="14"/>
    </row>
    <row r="7" spans="1:16" x14ac:dyDescent="0.25">
      <c r="A7" s="11">
        <v>59</v>
      </c>
      <c r="B7" s="11" t="s">
        <v>512</v>
      </c>
      <c r="C7" s="11" t="s">
        <v>70</v>
      </c>
      <c r="D7" s="11" t="s">
        <v>20</v>
      </c>
      <c r="E7" s="10">
        <v>5</v>
      </c>
      <c r="F7" s="14" t="str">
        <f t="shared" si="0"/>
        <v>Безрукавый А.О.</v>
      </c>
      <c r="G7" s="14"/>
      <c r="H7" s="11" t="s">
        <v>513</v>
      </c>
      <c r="I7" s="18" t="s">
        <v>514</v>
      </c>
      <c r="J7" s="11" t="s">
        <v>498</v>
      </c>
      <c r="K7" s="11" t="s">
        <v>55</v>
      </c>
      <c r="L7" s="11" t="s">
        <v>154</v>
      </c>
      <c r="M7" s="11" t="s">
        <v>26</v>
      </c>
      <c r="N7" s="11" t="s">
        <v>515</v>
      </c>
      <c r="O7" s="11"/>
      <c r="P7" s="14"/>
    </row>
    <row r="8" spans="1:16" x14ac:dyDescent="0.25">
      <c r="A8" s="11">
        <v>77</v>
      </c>
      <c r="B8" s="11" t="s">
        <v>516</v>
      </c>
      <c r="C8" s="11" t="s">
        <v>249</v>
      </c>
      <c r="D8" s="11" t="s">
        <v>20</v>
      </c>
      <c r="E8" s="10">
        <v>6</v>
      </c>
      <c r="F8" s="14" t="str">
        <f t="shared" si="0"/>
        <v>Богачев Ю.В.</v>
      </c>
      <c r="G8" s="14"/>
      <c r="H8" s="11"/>
      <c r="I8" s="18" t="s">
        <v>517</v>
      </c>
      <c r="J8" s="11" t="s">
        <v>498</v>
      </c>
      <c r="K8" s="11" t="s">
        <v>501</v>
      </c>
      <c r="L8" s="11" t="s">
        <v>518</v>
      </c>
      <c r="M8" s="11" t="s">
        <v>26</v>
      </c>
      <c r="N8" s="11" t="s">
        <v>519</v>
      </c>
      <c r="O8" s="11"/>
      <c r="P8" s="14"/>
    </row>
    <row r="9" spans="1:16" x14ac:dyDescent="0.25">
      <c r="A9" s="11">
        <v>61</v>
      </c>
      <c r="B9" s="11" t="s">
        <v>520</v>
      </c>
      <c r="C9" s="11" t="s">
        <v>249</v>
      </c>
      <c r="D9" s="11" t="s">
        <v>20</v>
      </c>
      <c r="E9" s="10">
        <v>7</v>
      </c>
      <c r="F9" s="14" t="str">
        <f t="shared" si="0"/>
        <v>Власов В.А.</v>
      </c>
      <c r="G9" s="14"/>
      <c r="H9" s="11"/>
      <c r="I9" s="18" t="s">
        <v>521</v>
      </c>
      <c r="J9" s="11" t="s">
        <v>498</v>
      </c>
      <c r="K9" s="11" t="s">
        <v>501</v>
      </c>
      <c r="L9" s="11" t="s">
        <v>150</v>
      </c>
      <c r="M9" s="11" t="s">
        <v>26</v>
      </c>
      <c r="N9" s="11" t="s">
        <v>522</v>
      </c>
      <c r="O9" s="11"/>
      <c r="P9" s="14"/>
    </row>
    <row r="10" spans="1:16" x14ac:dyDescent="0.25">
      <c r="A10" s="11">
        <v>115</v>
      </c>
      <c r="B10" s="11" t="s">
        <v>523</v>
      </c>
      <c r="C10" s="11" t="s">
        <v>249</v>
      </c>
      <c r="D10" s="11" t="s">
        <v>20</v>
      </c>
      <c r="E10" s="10">
        <v>8</v>
      </c>
      <c r="F10" s="14" t="str">
        <f t="shared" si="0"/>
        <v>Воробьев В.С.</v>
      </c>
      <c r="G10" s="14"/>
      <c r="H10" s="11"/>
      <c r="I10" s="18" t="s">
        <v>524</v>
      </c>
      <c r="J10" s="11" t="s">
        <v>498</v>
      </c>
      <c r="K10" s="11" t="s">
        <v>501</v>
      </c>
      <c r="L10" s="11" t="s">
        <v>525</v>
      </c>
      <c r="M10" s="11" t="s">
        <v>26</v>
      </c>
      <c r="N10" s="11" t="s">
        <v>526</v>
      </c>
      <c r="O10" s="11"/>
      <c r="P10" s="14"/>
    </row>
    <row r="11" spans="1:16" x14ac:dyDescent="0.25">
      <c r="A11" s="11">
        <v>8</v>
      </c>
      <c r="B11" s="11" t="s">
        <v>527</v>
      </c>
      <c r="C11" s="11" t="s">
        <v>52</v>
      </c>
      <c r="D11" s="11" t="s">
        <v>20</v>
      </c>
      <c r="E11" s="10">
        <v>9</v>
      </c>
      <c r="F11" s="14" t="str">
        <f t="shared" si="0"/>
        <v>Габдрахманов Р.М.</v>
      </c>
      <c r="G11" s="14"/>
      <c r="H11" s="11" t="s">
        <v>528</v>
      </c>
      <c r="I11" s="18" t="s">
        <v>529</v>
      </c>
      <c r="J11" s="11" t="s">
        <v>498</v>
      </c>
      <c r="K11" s="11" t="s">
        <v>24</v>
      </c>
      <c r="L11" s="11" t="s">
        <v>140</v>
      </c>
      <c r="M11" s="11" t="s">
        <v>26</v>
      </c>
      <c r="N11" s="11" t="s">
        <v>528</v>
      </c>
      <c r="O11" s="11"/>
      <c r="P11" s="14"/>
    </row>
    <row r="12" spans="1:16" x14ac:dyDescent="0.25">
      <c r="A12" s="11">
        <v>7</v>
      </c>
      <c r="B12" s="11" t="s">
        <v>530</v>
      </c>
      <c r="C12" s="11" t="s">
        <v>52</v>
      </c>
      <c r="D12" s="11" t="s">
        <v>20</v>
      </c>
      <c r="E12" s="10">
        <v>10</v>
      </c>
      <c r="F12" s="14" t="str">
        <f t="shared" si="0"/>
        <v>Габдрахманова А.Р.</v>
      </c>
      <c r="G12" s="14"/>
      <c r="H12" s="11" t="s">
        <v>531</v>
      </c>
      <c r="I12" s="18" t="s">
        <v>532</v>
      </c>
      <c r="J12" s="11" t="s">
        <v>498</v>
      </c>
      <c r="K12" s="11" t="s">
        <v>24</v>
      </c>
      <c r="L12" s="11" t="s">
        <v>301</v>
      </c>
      <c r="M12" s="11" t="s">
        <v>26</v>
      </c>
      <c r="N12" s="11" t="s">
        <v>531</v>
      </c>
      <c r="O12" s="11"/>
      <c r="P12" s="14"/>
    </row>
    <row r="13" spans="1:16" x14ac:dyDescent="0.25">
      <c r="A13" s="11">
        <v>108</v>
      </c>
      <c r="B13" s="11" t="s">
        <v>533</v>
      </c>
      <c r="C13" s="11" t="s">
        <v>249</v>
      </c>
      <c r="D13" s="11" t="s">
        <v>20</v>
      </c>
      <c r="E13" s="10">
        <v>11</v>
      </c>
      <c r="F13" s="14" t="str">
        <f t="shared" si="0"/>
        <v>Говорухин А.С.</v>
      </c>
      <c r="G13" s="14"/>
      <c r="H13" s="11"/>
      <c r="I13" s="18" t="s">
        <v>534</v>
      </c>
      <c r="J13" s="11" t="s">
        <v>498</v>
      </c>
      <c r="K13" s="11" t="s">
        <v>501</v>
      </c>
      <c r="L13" s="11" t="s">
        <v>535</v>
      </c>
      <c r="M13" s="11" t="s">
        <v>26</v>
      </c>
      <c r="N13" s="11" t="s">
        <v>536</v>
      </c>
      <c r="O13" s="11"/>
      <c r="P13" s="14"/>
    </row>
    <row r="14" spans="1:16" x14ac:dyDescent="0.25">
      <c r="A14" s="11">
        <v>122</v>
      </c>
      <c r="B14" s="11" t="s">
        <v>537</v>
      </c>
      <c r="C14" s="11" t="s">
        <v>249</v>
      </c>
      <c r="D14" s="11" t="s">
        <v>20</v>
      </c>
      <c r="E14" s="10">
        <v>12</v>
      </c>
      <c r="F14" s="14" t="str">
        <f t="shared" si="0"/>
        <v>Григорьев Е.А.</v>
      </c>
      <c r="G14" s="14"/>
      <c r="H14" s="11"/>
      <c r="I14" s="18" t="s">
        <v>538</v>
      </c>
      <c r="J14" s="11" t="s">
        <v>498</v>
      </c>
      <c r="K14" s="11" t="s">
        <v>501</v>
      </c>
      <c r="L14" s="11" t="s">
        <v>502</v>
      </c>
      <c r="M14" s="11" t="s">
        <v>26</v>
      </c>
      <c r="N14" s="11" t="s">
        <v>539</v>
      </c>
      <c r="O14" s="11"/>
      <c r="P14" s="14"/>
    </row>
    <row r="15" spans="1:16" x14ac:dyDescent="0.25">
      <c r="A15" s="11">
        <v>37</v>
      </c>
      <c r="B15" s="11" t="s">
        <v>540</v>
      </c>
      <c r="C15" s="11" t="s">
        <v>83</v>
      </c>
      <c r="D15" s="11" t="s">
        <v>20</v>
      </c>
      <c r="E15" s="10">
        <v>13</v>
      </c>
      <c r="F15" s="14" t="str">
        <f t="shared" si="0"/>
        <v>Гуляев С.А.</v>
      </c>
      <c r="G15" s="14"/>
      <c r="H15" s="11" t="s">
        <v>541</v>
      </c>
      <c r="I15" s="18" t="s">
        <v>542</v>
      </c>
      <c r="J15" s="11" t="s">
        <v>498</v>
      </c>
      <c r="K15" s="11" t="s">
        <v>55</v>
      </c>
      <c r="L15" s="11" t="s">
        <v>86</v>
      </c>
      <c r="M15" s="11" t="s">
        <v>26</v>
      </c>
      <c r="N15" s="11" t="s">
        <v>541</v>
      </c>
      <c r="O15" s="11"/>
      <c r="P15" s="14"/>
    </row>
    <row r="16" spans="1:16" x14ac:dyDescent="0.25">
      <c r="A16" s="11">
        <v>73</v>
      </c>
      <c r="B16" s="11" t="s">
        <v>543</v>
      </c>
      <c r="C16" s="11" t="s">
        <v>249</v>
      </c>
      <c r="D16" s="11" t="s">
        <v>20</v>
      </c>
      <c r="E16" s="10">
        <v>14</v>
      </c>
      <c r="F16" s="14" t="str">
        <f t="shared" si="0"/>
        <v>Епишин А.А.</v>
      </c>
      <c r="G16" s="14"/>
      <c r="H16" s="11"/>
      <c r="I16" s="18" t="s">
        <v>544</v>
      </c>
      <c r="J16" s="11" t="s">
        <v>498</v>
      </c>
      <c r="K16" s="11" t="s">
        <v>501</v>
      </c>
      <c r="L16" s="11" t="s">
        <v>251</v>
      </c>
      <c r="M16" s="11" t="s">
        <v>26</v>
      </c>
      <c r="N16" s="11" t="s">
        <v>545</v>
      </c>
      <c r="O16" s="11"/>
      <c r="P16" s="14"/>
    </row>
    <row r="17" spans="1:16" x14ac:dyDescent="0.25">
      <c r="A17" s="11">
        <v>66</v>
      </c>
      <c r="B17" s="11" t="s">
        <v>546</v>
      </c>
      <c r="C17" s="11" t="s">
        <v>70</v>
      </c>
      <c r="D17" s="11" t="s">
        <v>20</v>
      </c>
      <c r="E17" s="10">
        <v>15</v>
      </c>
      <c r="F17" s="14" t="str">
        <f t="shared" si="0"/>
        <v>Зарипов Р.Р.</v>
      </c>
      <c r="G17" s="14"/>
      <c r="H17" s="11" t="s">
        <v>547</v>
      </c>
      <c r="I17" s="18" t="s">
        <v>548</v>
      </c>
      <c r="J17" s="11" t="s">
        <v>498</v>
      </c>
      <c r="K17" s="11" t="s">
        <v>55</v>
      </c>
      <c r="L17" s="11" t="s">
        <v>549</v>
      </c>
      <c r="M17" s="11" t="s">
        <v>26</v>
      </c>
      <c r="N17" s="11" t="s">
        <v>547</v>
      </c>
      <c r="O17" s="11"/>
      <c r="P17" s="14"/>
    </row>
    <row r="18" spans="1:16" x14ac:dyDescent="0.25">
      <c r="A18" s="11">
        <v>113</v>
      </c>
      <c r="B18" s="11" t="s">
        <v>550</v>
      </c>
      <c r="C18" s="11" t="s">
        <v>249</v>
      </c>
      <c r="D18" s="11" t="s">
        <v>20</v>
      </c>
      <c r="E18" s="10">
        <v>16</v>
      </c>
      <c r="F18" s="14" t="str">
        <f t="shared" si="0"/>
        <v>Ключников С.В.</v>
      </c>
      <c r="G18" s="14"/>
      <c r="H18" s="11"/>
      <c r="I18" s="18" t="s">
        <v>551</v>
      </c>
      <c r="J18" s="11" t="s">
        <v>498</v>
      </c>
      <c r="K18" s="11" t="s">
        <v>501</v>
      </c>
      <c r="L18" s="11" t="s">
        <v>552</v>
      </c>
      <c r="M18" s="11" t="s">
        <v>26</v>
      </c>
      <c r="N18" s="11" t="s">
        <v>553</v>
      </c>
      <c r="O18" s="11"/>
      <c r="P18" s="14"/>
    </row>
    <row r="19" spans="1:16" x14ac:dyDescent="0.25">
      <c r="A19" s="11">
        <v>74</v>
      </c>
      <c r="B19" s="11" t="s">
        <v>554</v>
      </c>
      <c r="C19" s="11" t="s">
        <v>249</v>
      </c>
      <c r="D19" s="11" t="s">
        <v>20</v>
      </c>
      <c r="E19" s="10">
        <v>17</v>
      </c>
      <c r="F19" s="14" t="str">
        <f t="shared" si="0"/>
        <v>Копылов И.А.</v>
      </c>
      <c r="G19" s="14"/>
      <c r="H19" s="11"/>
      <c r="I19" s="18" t="s">
        <v>555</v>
      </c>
      <c r="J19" s="11" t="s">
        <v>498</v>
      </c>
      <c r="K19" s="11" t="s">
        <v>501</v>
      </c>
      <c r="L19" s="11" t="s">
        <v>518</v>
      </c>
      <c r="M19" s="11" t="s">
        <v>26</v>
      </c>
      <c r="N19" s="11" t="s">
        <v>556</v>
      </c>
      <c r="O19" s="11"/>
      <c r="P19" s="14"/>
    </row>
    <row r="20" spans="1:16" x14ac:dyDescent="0.25">
      <c r="A20" s="11">
        <v>79</v>
      </c>
      <c r="B20" s="11" t="s">
        <v>557</v>
      </c>
      <c r="C20" s="11" t="s">
        <v>249</v>
      </c>
      <c r="D20" s="11" t="s">
        <v>20</v>
      </c>
      <c r="E20" s="10">
        <v>18</v>
      </c>
      <c r="F20" s="14" t="str">
        <f t="shared" si="0"/>
        <v>Корнеев С.А.</v>
      </c>
      <c r="G20" s="14"/>
      <c r="H20" s="11"/>
      <c r="I20" s="11"/>
      <c r="J20" s="11" t="s">
        <v>498</v>
      </c>
      <c r="K20" s="11" t="s">
        <v>501</v>
      </c>
      <c r="L20" s="11" t="s">
        <v>558</v>
      </c>
      <c r="M20" s="11" t="s">
        <v>26</v>
      </c>
      <c r="N20" s="11" t="s">
        <v>559</v>
      </c>
      <c r="O20" s="11"/>
      <c r="P20" s="14"/>
    </row>
    <row r="21" spans="1:16" x14ac:dyDescent="0.25">
      <c r="A21" s="11">
        <v>28</v>
      </c>
      <c r="B21" s="11" t="s">
        <v>560</v>
      </c>
      <c r="C21" s="11" t="s">
        <v>52</v>
      </c>
      <c r="D21" s="11" t="s">
        <v>20</v>
      </c>
      <c r="E21" s="10">
        <v>19</v>
      </c>
      <c r="F21" s="14" t="str">
        <f t="shared" si="0"/>
        <v>Кулаков Д.А.</v>
      </c>
      <c r="G21" s="14"/>
      <c r="H21" s="11" t="s">
        <v>561</v>
      </c>
      <c r="I21" s="18" t="s">
        <v>562</v>
      </c>
      <c r="J21" s="11" t="s">
        <v>498</v>
      </c>
      <c r="K21" s="11" t="s">
        <v>55</v>
      </c>
      <c r="L21" s="11" t="s">
        <v>563</v>
      </c>
      <c r="M21" s="11" t="s">
        <v>26</v>
      </c>
      <c r="N21" s="11" t="s">
        <v>561</v>
      </c>
      <c r="O21" s="11"/>
      <c r="P21" s="14"/>
    </row>
    <row r="22" spans="1:16" x14ac:dyDescent="0.25">
      <c r="A22" s="11">
        <v>80</v>
      </c>
      <c r="B22" s="11" t="s">
        <v>564</v>
      </c>
      <c r="C22" s="11" t="s">
        <v>249</v>
      </c>
      <c r="D22" s="11" t="s">
        <v>20</v>
      </c>
      <c r="E22" s="10">
        <v>20</v>
      </c>
      <c r="F22" s="14" t="str">
        <f t="shared" si="0"/>
        <v>Литвинов А.Ю.</v>
      </c>
      <c r="G22" s="14"/>
      <c r="H22" s="11"/>
      <c r="I22" s="11"/>
      <c r="J22" s="11" t="s">
        <v>498</v>
      </c>
      <c r="K22" s="11" t="s">
        <v>501</v>
      </c>
      <c r="L22" s="11" t="s">
        <v>251</v>
      </c>
      <c r="M22" s="11" t="s">
        <v>26</v>
      </c>
      <c r="N22" s="11" t="s">
        <v>565</v>
      </c>
      <c r="O22" s="11"/>
      <c r="P22" s="14"/>
    </row>
    <row r="23" spans="1:16" x14ac:dyDescent="0.25">
      <c r="A23" s="11">
        <v>64</v>
      </c>
      <c r="B23" s="11" t="s">
        <v>566</v>
      </c>
      <c r="C23" s="11" t="s">
        <v>70</v>
      </c>
      <c r="D23" s="11" t="s">
        <v>20</v>
      </c>
      <c r="E23" s="10">
        <v>21</v>
      </c>
      <c r="F23" s="14" t="str">
        <f t="shared" si="0"/>
        <v>Макаров А.В.</v>
      </c>
      <c r="G23" s="14"/>
      <c r="H23" s="11" t="s">
        <v>567</v>
      </c>
      <c r="I23" s="11"/>
      <c r="J23" s="11" t="s">
        <v>498</v>
      </c>
      <c r="K23" s="11" t="s">
        <v>24</v>
      </c>
      <c r="L23" s="11" t="s">
        <v>154</v>
      </c>
      <c r="M23" s="11" t="s">
        <v>26</v>
      </c>
      <c r="N23" s="11" t="s">
        <v>568</v>
      </c>
      <c r="O23" s="18" t="s">
        <v>569</v>
      </c>
      <c r="P23" s="14"/>
    </row>
    <row r="24" spans="1:16" x14ac:dyDescent="0.25">
      <c r="A24" s="11">
        <v>101</v>
      </c>
      <c r="B24" s="11" t="s">
        <v>570</v>
      </c>
      <c r="C24" s="11" t="s">
        <v>19</v>
      </c>
      <c r="D24" s="11" t="s">
        <v>20</v>
      </c>
      <c r="E24" s="10">
        <v>22</v>
      </c>
      <c r="F24" s="14" t="str">
        <f t="shared" si="0"/>
        <v>Мужеков И.Р.</v>
      </c>
      <c r="G24" s="14"/>
      <c r="H24" s="11" t="s">
        <v>571</v>
      </c>
      <c r="I24" s="18" t="s">
        <v>572</v>
      </c>
      <c r="J24" s="11" t="s">
        <v>498</v>
      </c>
      <c r="K24" s="11" t="s">
        <v>55</v>
      </c>
      <c r="L24" s="11" t="s">
        <v>573</v>
      </c>
      <c r="M24" s="11" t="s">
        <v>49</v>
      </c>
      <c r="N24" s="11" t="s">
        <v>571</v>
      </c>
      <c r="O24" s="18" t="s">
        <v>572</v>
      </c>
      <c r="P24" s="14"/>
    </row>
    <row r="25" spans="1:16" x14ac:dyDescent="0.25">
      <c r="A25" s="11">
        <v>120</v>
      </c>
      <c r="B25" s="11" t="s">
        <v>574</v>
      </c>
      <c r="C25" s="11" t="s">
        <v>249</v>
      </c>
      <c r="D25" s="11" t="s">
        <v>20</v>
      </c>
      <c r="E25" s="10">
        <v>23</v>
      </c>
      <c r="F25" s="14" t="str">
        <f t="shared" si="0"/>
        <v>Пахомов Р.В.</v>
      </c>
      <c r="G25" s="14"/>
      <c r="H25" s="11"/>
      <c r="I25" s="18" t="s">
        <v>575</v>
      </c>
      <c r="J25" s="11" t="s">
        <v>498</v>
      </c>
      <c r="K25" s="11" t="s">
        <v>501</v>
      </c>
      <c r="L25" s="11" t="s">
        <v>502</v>
      </c>
      <c r="M25" s="11" t="s">
        <v>258</v>
      </c>
      <c r="N25" s="11" t="s">
        <v>576</v>
      </c>
      <c r="O25" s="11"/>
      <c r="P25" s="14"/>
    </row>
    <row r="26" spans="1:16" x14ac:dyDescent="0.25">
      <c r="A26" s="11">
        <v>53</v>
      </c>
      <c r="B26" s="11" t="s">
        <v>577</v>
      </c>
      <c r="C26" s="11" t="s">
        <v>52</v>
      </c>
      <c r="D26" s="11" t="s">
        <v>20</v>
      </c>
      <c r="E26" s="10">
        <v>24</v>
      </c>
      <c r="F26" s="14" t="str">
        <f t="shared" si="0"/>
        <v>Платонов Д.А.</v>
      </c>
      <c r="G26" s="14"/>
      <c r="H26" s="11" t="s">
        <v>578</v>
      </c>
      <c r="I26" s="11"/>
      <c r="J26" s="11" t="s">
        <v>498</v>
      </c>
      <c r="K26" s="11" t="s">
        <v>55</v>
      </c>
      <c r="L26" s="11" t="s">
        <v>579</v>
      </c>
      <c r="M26" s="11" t="s">
        <v>26</v>
      </c>
      <c r="N26" s="11" t="s">
        <v>578</v>
      </c>
      <c r="O26" s="18" t="s">
        <v>580</v>
      </c>
      <c r="P26" s="14"/>
    </row>
    <row r="27" spans="1:16" x14ac:dyDescent="0.25">
      <c r="A27" s="11">
        <v>121</v>
      </c>
      <c r="B27" s="11" t="s">
        <v>581</v>
      </c>
      <c r="C27" s="11" t="s">
        <v>249</v>
      </c>
      <c r="D27" s="11" t="s">
        <v>20</v>
      </c>
      <c r="E27" s="10">
        <v>25</v>
      </c>
      <c r="F27" s="14" t="str">
        <f t="shared" si="0"/>
        <v>Пронин С.Н.</v>
      </c>
      <c r="G27" s="14"/>
      <c r="H27" s="11"/>
      <c r="I27" s="18" t="s">
        <v>582</v>
      </c>
      <c r="J27" s="11" t="s">
        <v>498</v>
      </c>
      <c r="K27" s="11" t="s">
        <v>501</v>
      </c>
      <c r="L27" s="11" t="s">
        <v>583</v>
      </c>
      <c r="M27" s="11" t="s">
        <v>258</v>
      </c>
      <c r="N27" s="11" t="s">
        <v>584</v>
      </c>
      <c r="O27" s="11"/>
      <c r="P27" s="14"/>
    </row>
    <row r="28" spans="1:16" x14ac:dyDescent="0.25">
      <c r="A28" s="11">
        <v>112</v>
      </c>
      <c r="B28" s="11" t="s">
        <v>585</v>
      </c>
      <c r="C28" s="11" t="s">
        <v>88</v>
      </c>
      <c r="D28" s="11" t="s">
        <v>20</v>
      </c>
      <c r="E28" s="10">
        <v>26</v>
      </c>
      <c r="F28" s="14" t="str">
        <f t="shared" si="0"/>
        <v>Раянова Л.Р.</v>
      </c>
      <c r="G28" s="14"/>
      <c r="H28" s="11" t="s">
        <v>586</v>
      </c>
      <c r="I28" s="18" t="s">
        <v>587</v>
      </c>
      <c r="J28" s="11" t="s">
        <v>498</v>
      </c>
      <c r="K28" s="11" t="s">
        <v>55</v>
      </c>
      <c r="L28" s="11" t="s">
        <v>511</v>
      </c>
      <c r="M28" s="11" t="s">
        <v>26</v>
      </c>
      <c r="N28" s="11" t="s">
        <v>586</v>
      </c>
      <c r="O28" s="11"/>
      <c r="P28" s="14"/>
    </row>
    <row r="29" spans="1:16" x14ac:dyDescent="0.25">
      <c r="A29" s="11">
        <v>125</v>
      </c>
      <c r="B29" s="11" t="s">
        <v>588</v>
      </c>
      <c r="C29" s="11" t="s">
        <v>589</v>
      </c>
      <c r="D29" s="11" t="s">
        <v>20</v>
      </c>
      <c r="E29" s="10">
        <v>27</v>
      </c>
      <c r="F29" s="14" t="str">
        <f t="shared" si="0"/>
        <v>Рыскаль В.А.</v>
      </c>
      <c r="G29" s="14"/>
      <c r="H29" s="11"/>
      <c r="I29" s="18" t="s">
        <v>590</v>
      </c>
      <c r="J29" s="11" t="s">
        <v>498</v>
      </c>
      <c r="K29" s="11" t="s">
        <v>55</v>
      </c>
      <c r="L29" s="11" t="s">
        <v>591</v>
      </c>
      <c r="M29" s="11" t="s">
        <v>26</v>
      </c>
      <c r="N29" s="11" t="s">
        <v>592</v>
      </c>
      <c r="O29" s="11"/>
      <c r="P29" s="14"/>
    </row>
    <row r="30" spans="1:16" x14ac:dyDescent="0.25">
      <c r="A30" s="11">
        <v>123</v>
      </c>
      <c r="B30" s="11" t="s">
        <v>593</v>
      </c>
      <c r="C30" s="11" t="s">
        <v>83</v>
      </c>
      <c r="D30" s="11" t="s">
        <v>20</v>
      </c>
      <c r="E30" s="10">
        <v>28</v>
      </c>
      <c r="F30" s="14" t="str">
        <f t="shared" si="0"/>
        <v>Садыков И.Р.</v>
      </c>
      <c r="G30" s="14"/>
      <c r="H30" s="11" t="s">
        <v>594</v>
      </c>
      <c r="I30" s="18" t="s">
        <v>595</v>
      </c>
      <c r="J30" s="11" t="s">
        <v>498</v>
      </c>
      <c r="K30" s="11" t="s">
        <v>55</v>
      </c>
      <c r="L30" s="11" t="s">
        <v>86</v>
      </c>
      <c r="M30" s="11" t="s">
        <v>26</v>
      </c>
      <c r="N30" s="11" t="s">
        <v>594</v>
      </c>
      <c r="O30" s="11"/>
      <c r="P30" s="14"/>
    </row>
    <row r="31" spans="1:16" x14ac:dyDescent="0.25">
      <c r="A31" s="11">
        <v>6</v>
      </c>
      <c r="B31" s="11" t="s">
        <v>596</v>
      </c>
      <c r="C31" s="11" t="s">
        <v>52</v>
      </c>
      <c r="D31" s="11" t="s">
        <v>20</v>
      </c>
      <c r="E31" s="10">
        <v>29</v>
      </c>
      <c r="F31" s="14" t="str">
        <f t="shared" si="0"/>
        <v>Самохвалов А.В.</v>
      </c>
      <c r="G31" s="14"/>
      <c r="H31" s="11" t="s">
        <v>597</v>
      </c>
      <c r="I31" s="18" t="s">
        <v>598</v>
      </c>
      <c r="J31" s="11" t="s">
        <v>498</v>
      </c>
      <c r="K31" s="11" t="s">
        <v>24</v>
      </c>
      <c r="L31" s="11" t="s">
        <v>301</v>
      </c>
      <c r="M31" s="11" t="s">
        <v>376</v>
      </c>
      <c r="N31" s="11" t="s">
        <v>597</v>
      </c>
      <c r="O31" s="11"/>
      <c r="P31" s="14"/>
    </row>
    <row r="32" spans="1:16" x14ac:dyDescent="0.25">
      <c r="A32" s="11">
        <v>34</v>
      </c>
      <c r="B32" s="11" t="s">
        <v>599</v>
      </c>
      <c r="C32" s="11" t="s">
        <v>83</v>
      </c>
      <c r="D32" s="11" t="s">
        <v>20</v>
      </c>
      <c r="E32" s="10">
        <v>30</v>
      </c>
      <c r="F32" s="14" t="str">
        <f t="shared" si="0"/>
        <v>Семенов Д.А.</v>
      </c>
      <c r="G32" s="14"/>
      <c r="H32" s="11" t="s">
        <v>600</v>
      </c>
      <c r="I32" s="18" t="s">
        <v>601</v>
      </c>
      <c r="J32" s="11" t="s">
        <v>498</v>
      </c>
      <c r="K32" s="11" t="s">
        <v>55</v>
      </c>
      <c r="L32" s="11" t="s">
        <v>86</v>
      </c>
      <c r="M32" s="11" t="s">
        <v>26</v>
      </c>
      <c r="N32" s="11" t="s">
        <v>600</v>
      </c>
      <c r="O32" s="11"/>
      <c r="P32" s="14"/>
    </row>
    <row r="33" spans="1:16" x14ac:dyDescent="0.25">
      <c r="A33" s="11">
        <v>81</v>
      </c>
      <c r="B33" s="11" t="s">
        <v>602</v>
      </c>
      <c r="C33" s="11" t="s">
        <v>58</v>
      </c>
      <c r="D33" s="11" t="s">
        <v>20</v>
      </c>
      <c r="E33" s="10">
        <v>31</v>
      </c>
      <c r="F33" s="14" t="str">
        <f t="shared" si="0"/>
        <v>Семиженко А.В.</v>
      </c>
      <c r="G33" s="14"/>
      <c r="H33" s="11" t="s">
        <v>603</v>
      </c>
      <c r="I33" s="18" t="s">
        <v>604</v>
      </c>
      <c r="J33" s="11" t="s">
        <v>498</v>
      </c>
      <c r="K33" s="11" t="s">
        <v>24</v>
      </c>
      <c r="L33" s="11" t="s">
        <v>62</v>
      </c>
      <c r="M33" s="11" t="s">
        <v>26</v>
      </c>
      <c r="N33" s="11" t="s">
        <v>603</v>
      </c>
      <c r="O33" s="11"/>
      <c r="P33" s="14"/>
    </row>
    <row r="34" spans="1:16" x14ac:dyDescent="0.25">
      <c r="A34" s="11">
        <v>94</v>
      </c>
      <c r="B34" s="11" t="s">
        <v>605</v>
      </c>
      <c r="C34" s="11" t="s">
        <v>249</v>
      </c>
      <c r="D34" s="11" t="s">
        <v>20</v>
      </c>
      <c r="E34" s="10">
        <v>32</v>
      </c>
      <c r="F34" s="14" t="str">
        <f t="shared" si="0"/>
        <v>Стихарев В.В.</v>
      </c>
      <c r="G34" s="14"/>
      <c r="H34" s="11"/>
      <c r="I34" s="11"/>
      <c r="J34" s="11" t="s">
        <v>498</v>
      </c>
      <c r="K34" s="11" t="s">
        <v>501</v>
      </c>
      <c r="L34" s="11" t="s">
        <v>552</v>
      </c>
      <c r="M34" s="11" t="s">
        <v>26</v>
      </c>
      <c r="N34" s="11" t="s">
        <v>606</v>
      </c>
      <c r="O34" s="11"/>
      <c r="P34" s="14"/>
    </row>
    <row r="35" spans="1:16" x14ac:dyDescent="0.25">
      <c r="A35" s="11">
        <v>52</v>
      </c>
      <c r="B35" s="11" t="s">
        <v>607</v>
      </c>
      <c r="C35" s="11" t="s">
        <v>52</v>
      </c>
      <c r="D35" s="11" t="s">
        <v>20</v>
      </c>
      <c r="E35" s="10">
        <v>33</v>
      </c>
      <c r="F35" s="14" t="str">
        <f t="shared" si="0"/>
        <v>Турпак А.М.</v>
      </c>
      <c r="G35" s="14"/>
      <c r="H35" s="11" t="s">
        <v>608</v>
      </c>
      <c r="I35" s="18" t="s">
        <v>609</v>
      </c>
      <c r="J35" s="11" t="s">
        <v>498</v>
      </c>
      <c r="K35" s="11" t="s">
        <v>24</v>
      </c>
      <c r="L35" s="11" t="s">
        <v>277</v>
      </c>
      <c r="M35" s="11" t="s">
        <v>26</v>
      </c>
      <c r="N35" s="11" t="s">
        <v>610</v>
      </c>
      <c r="O35" s="18" t="s">
        <v>609</v>
      </c>
      <c r="P35" s="14"/>
    </row>
    <row r="36" spans="1:16" x14ac:dyDescent="0.25">
      <c r="A36" s="11">
        <v>54</v>
      </c>
      <c r="B36" s="11" t="s">
        <v>611</v>
      </c>
      <c r="C36" s="11" t="s">
        <v>589</v>
      </c>
      <c r="D36" s="11" t="s">
        <v>20</v>
      </c>
      <c r="E36" s="10">
        <v>34</v>
      </c>
      <c r="F36" s="14" t="str">
        <f t="shared" si="0"/>
        <v>Унгурян Р.В.</v>
      </c>
      <c r="G36" s="14"/>
      <c r="H36" s="11" t="s">
        <v>612</v>
      </c>
      <c r="I36" s="18" t="s">
        <v>613</v>
      </c>
      <c r="J36" s="11" t="s">
        <v>498</v>
      </c>
      <c r="K36" s="11" t="s">
        <v>55</v>
      </c>
      <c r="L36" s="11" t="s">
        <v>313</v>
      </c>
      <c r="M36" s="11" t="s">
        <v>26</v>
      </c>
      <c r="N36" s="11" t="s">
        <v>614</v>
      </c>
      <c r="O36" s="11"/>
      <c r="P36" s="14"/>
    </row>
    <row r="37" spans="1:16" x14ac:dyDescent="0.25">
      <c r="A37" s="11">
        <v>60</v>
      </c>
      <c r="B37" s="11" t="s">
        <v>615</v>
      </c>
      <c r="C37" s="11" t="s">
        <v>19</v>
      </c>
      <c r="D37" s="11" t="s">
        <v>20</v>
      </c>
      <c r="E37" s="10">
        <v>35</v>
      </c>
      <c r="F37" s="14" t="str">
        <f t="shared" si="0"/>
        <v>Флегонтов Д.О.</v>
      </c>
      <c r="G37" s="14"/>
      <c r="H37" s="11" t="s">
        <v>616</v>
      </c>
      <c r="I37" s="18" t="s">
        <v>617</v>
      </c>
      <c r="J37" s="11" t="s">
        <v>498</v>
      </c>
      <c r="K37" s="11" t="s">
        <v>55</v>
      </c>
      <c r="L37" s="11" t="s">
        <v>225</v>
      </c>
      <c r="M37" s="11" t="s">
        <v>26</v>
      </c>
      <c r="N37" s="11" t="s">
        <v>616</v>
      </c>
      <c r="O37" s="11"/>
      <c r="P37" s="14"/>
    </row>
    <row r="38" spans="1:16" x14ac:dyDescent="0.25">
      <c r="A38" s="11">
        <v>114</v>
      </c>
      <c r="B38" s="11" t="s">
        <v>618</v>
      </c>
      <c r="C38" s="11" t="s">
        <v>249</v>
      </c>
      <c r="D38" s="11" t="s">
        <v>20</v>
      </c>
      <c r="E38" s="10">
        <v>36</v>
      </c>
      <c r="F38" s="14" t="str">
        <f t="shared" si="0"/>
        <v>Фомин Е.Д.</v>
      </c>
      <c r="G38" s="14"/>
      <c r="H38" s="11"/>
      <c r="I38" s="18" t="s">
        <v>619</v>
      </c>
      <c r="J38" s="11" t="s">
        <v>498</v>
      </c>
      <c r="K38" s="11" t="s">
        <v>501</v>
      </c>
      <c r="L38" s="11" t="s">
        <v>518</v>
      </c>
      <c r="M38" s="11" t="s">
        <v>26</v>
      </c>
      <c r="N38" s="11" t="s">
        <v>620</v>
      </c>
      <c r="O38" s="11"/>
      <c r="P38" s="14"/>
    </row>
    <row r="39" spans="1:16" x14ac:dyDescent="0.25">
      <c r="A39" s="11">
        <v>12</v>
      </c>
      <c r="B39" s="11" t="s">
        <v>621</v>
      </c>
      <c r="C39" s="11" t="s">
        <v>589</v>
      </c>
      <c r="D39" s="11" t="s">
        <v>20</v>
      </c>
      <c r="E39" s="10">
        <v>37</v>
      </c>
      <c r="F39" s="14" t="str">
        <f t="shared" si="0"/>
        <v>Фролов С.А.</v>
      </c>
      <c r="G39" s="14"/>
      <c r="H39" s="11" t="s">
        <v>622</v>
      </c>
      <c r="I39" s="18" t="s">
        <v>623</v>
      </c>
      <c r="J39" s="11" t="s">
        <v>498</v>
      </c>
      <c r="K39" s="11" t="s">
        <v>24</v>
      </c>
      <c r="L39" s="11" t="s">
        <v>624</v>
      </c>
      <c r="M39" s="11" t="s">
        <v>26</v>
      </c>
      <c r="N39" s="11" t="s">
        <v>622</v>
      </c>
      <c r="O39" s="11"/>
      <c r="P39" s="18" t="s">
        <v>625</v>
      </c>
    </row>
    <row r="40" spans="1:16" x14ac:dyDescent="0.25">
      <c r="A40" s="11">
        <v>69</v>
      </c>
      <c r="B40" s="11" t="s">
        <v>626</v>
      </c>
      <c r="C40" s="11" t="s">
        <v>19</v>
      </c>
      <c r="D40" s="11" t="s">
        <v>20</v>
      </c>
      <c r="E40" s="10">
        <v>38</v>
      </c>
      <c r="F40" s="14" t="str">
        <f t="shared" si="0"/>
        <v>Хабибуллин Б.Р.</v>
      </c>
      <c r="G40" s="14"/>
      <c r="H40" s="11" t="s">
        <v>627</v>
      </c>
      <c r="I40" s="18" t="s">
        <v>628</v>
      </c>
      <c r="J40" s="11" t="s">
        <v>498</v>
      </c>
      <c r="K40" s="11" t="s">
        <v>55</v>
      </c>
      <c r="L40" s="11" t="s">
        <v>106</v>
      </c>
      <c r="M40" s="11" t="s">
        <v>26</v>
      </c>
      <c r="N40" s="11" t="s">
        <v>627</v>
      </c>
      <c r="O40" s="11"/>
      <c r="P40" s="11"/>
    </row>
    <row r="41" spans="1:16" x14ac:dyDescent="0.25">
      <c r="A41" s="11">
        <v>11</v>
      </c>
      <c r="B41" s="11" t="s">
        <v>629</v>
      </c>
      <c r="C41" s="11" t="s">
        <v>589</v>
      </c>
      <c r="D41" s="11" t="s">
        <v>20</v>
      </c>
      <c r="E41" s="10">
        <v>39</v>
      </c>
      <c r="F41" s="14" t="str">
        <f t="shared" si="0"/>
        <v>Хомин В.П.</v>
      </c>
      <c r="G41" s="14"/>
      <c r="H41" s="11" t="s">
        <v>630</v>
      </c>
      <c r="I41" s="18" t="s">
        <v>631</v>
      </c>
      <c r="J41" s="11" t="s">
        <v>498</v>
      </c>
      <c r="K41" s="11" t="s">
        <v>73</v>
      </c>
      <c r="L41" s="11" t="s">
        <v>632</v>
      </c>
      <c r="M41" s="11" t="s">
        <v>26</v>
      </c>
      <c r="N41" s="11" t="s">
        <v>630</v>
      </c>
      <c r="O41" s="11"/>
      <c r="P41" s="18" t="s">
        <v>68</v>
      </c>
    </row>
    <row r="42" spans="1:16" x14ac:dyDescent="0.25">
      <c r="A42" s="11">
        <v>35</v>
      </c>
      <c r="B42" s="11" t="s">
        <v>633</v>
      </c>
      <c r="C42" s="11" t="s">
        <v>52</v>
      </c>
      <c r="D42" s="11" t="s">
        <v>20</v>
      </c>
      <c r="E42" s="10">
        <v>40</v>
      </c>
      <c r="F42" s="14" t="str">
        <f t="shared" si="0"/>
        <v>Чудасов И.В.</v>
      </c>
      <c r="G42" s="14"/>
      <c r="H42" s="11" t="s">
        <v>634</v>
      </c>
      <c r="I42" s="18" t="s">
        <v>635</v>
      </c>
      <c r="J42" s="11" t="s">
        <v>498</v>
      </c>
      <c r="K42" s="11" t="s">
        <v>24</v>
      </c>
      <c r="L42" s="11" t="s">
        <v>277</v>
      </c>
      <c r="M42" s="11" t="s">
        <v>26</v>
      </c>
      <c r="N42" s="11" t="s">
        <v>636</v>
      </c>
      <c r="O42" s="11"/>
      <c r="P42" s="11"/>
    </row>
    <row r="43" spans="1:16" x14ac:dyDescent="0.25">
      <c r="A43" s="11">
        <v>63</v>
      </c>
      <c r="B43" s="11" t="s">
        <v>637</v>
      </c>
      <c r="C43" s="11" t="s">
        <v>83</v>
      </c>
      <c r="D43" s="11" t="s">
        <v>20</v>
      </c>
      <c r="E43" s="10">
        <v>41</v>
      </c>
      <c r="F43" s="14" t="str">
        <f t="shared" si="0"/>
        <v>Якищенко А.В.</v>
      </c>
      <c r="G43" s="14"/>
      <c r="H43" s="11" t="s">
        <v>638</v>
      </c>
      <c r="I43" s="18" t="s">
        <v>639</v>
      </c>
      <c r="J43" s="11" t="s">
        <v>498</v>
      </c>
      <c r="K43" s="11" t="s">
        <v>55</v>
      </c>
      <c r="L43" s="11" t="s">
        <v>86</v>
      </c>
      <c r="M43" s="11" t="s">
        <v>26</v>
      </c>
      <c r="N43" s="11" t="s">
        <v>638</v>
      </c>
      <c r="O43" s="11"/>
      <c r="P43" s="11"/>
    </row>
  </sheetData>
  <autoFilter ref="A2:N43" xr:uid="{00000000-0009-0000-0000-000002000000}">
    <sortState xmlns:xlrd2="http://schemas.microsoft.com/office/spreadsheetml/2017/richdata2" ref="A2:N43">
      <sortCondition ref="E2:E43"/>
    </sortState>
  </autoFilter>
  <mergeCells count="1">
    <mergeCell ref="A1:E1"/>
  </mergeCells>
  <dataValidations count="1">
    <dataValidation type="list" allowBlank="1" sqref="D3:D43" xr:uid="{00000000-0002-0000-0200-000000000000}">
      <formula1>"да,нет"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1000000}">
          <x14:formula1>
            <xm:f>temp!$G$2:$G43</xm:f>
          </x14:formula1>
          <xm:sqref>C3:C43</xm:sqref>
        </x14:dataValidation>
        <x14:dataValidation type="list" allowBlank="1" xr:uid="{00000000-0002-0000-0200-000002000000}">
          <x14:formula1>
            <xm:f>temp!$A$2:$A43</xm:f>
          </x14:formula1>
          <xm:sqref>J3:J43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6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1" width="18" customWidth="1"/>
    <col min="2" max="2" width="31.88671875" customWidth="1"/>
    <col min="3" max="3" width="16.109375" customWidth="1"/>
    <col min="4" max="4" width="15" customWidth="1"/>
    <col min="5" max="5" width="5.21875" customWidth="1"/>
    <col min="6" max="6" width="14.33203125" customWidth="1"/>
    <col min="7" max="7" width="27" customWidth="1"/>
    <col min="8" max="8" width="23.21875" customWidth="1"/>
    <col min="9" max="9" width="15" customWidth="1"/>
    <col min="10" max="10" width="22.33203125" customWidth="1"/>
    <col min="11" max="11" width="17.33203125" customWidth="1"/>
    <col min="12" max="12" width="45.77734375" customWidth="1"/>
    <col min="13" max="13" width="11.77734375" customWidth="1"/>
    <col min="14" max="14" width="19.77734375" customWidth="1"/>
    <col min="15" max="15" width="15" customWidth="1"/>
    <col min="16" max="16" width="18.109375" customWidth="1"/>
  </cols>
  <sheetData>
    <row r="1" spans="1:16" x14ac:dyDescent="0.25">
      <c r="A1" s="109" t="s">
        <v>0</v>
      </c>
      <c r="B1" s="110"/>
      <c r="C1" s="110"/>
      <c r="D1" s="110"/>
      <c r="E1" s="111"/>
      <c r="F1" s="3" t="s">
        <v>1</v>
      </c>
      <c r="G1" s="4">
        <f>COUNTIF(E3:E6,"&lt;&gt;" &amp; "")</f>
        <v>4</v>
      </c>
      <c r="H1" s="4"/>
      <c r="I1" s="4"/>
      <c r="J1" s="4"/>
      <c r="K1" s="5"/>
      <c r="L1" s="5"/>
      <c r="M1" s="5"/>
      <c r="N1" s="5"/>
      <c r="O1" s="5"/>
      <c r="P1" s="5"/>
    </row>
    <row r="2" spans="1:16" x14ac:dyDescent="0.25">
      <c r="A2" s="6" t="s">
        <v>2</v>
      </c>
      <c r="B2" s="7" t="s">
        <v>3</v>
      </c>
      <c r="C2" s="7" t="s">
        <v>4</v>
      </c>
      <c r="D2" s="6" t="s">
        <v>5</v>
      </c>
      <c r="E2" s="7" t="s">
        <v>6</v>
      </c>
      <c r="F2" s="7" t="s">
        <v>7</v>
      </c>
      <c r="G2" s="4" t="s">
        <v>8</v>
      </c>
      <c r="H2" s="8" t="s">
        <v>9</v>
      </c>
      <c r="I2" s="8" t="s">
        <v>10</v>
      </c>
      <c r="J2" s="9" t="s">
        <v>11</v>
      </c>
      <c r="K2" s="5" t="s">
        <v>12</v>
      </c>
      <c r="L2" s="9" t="s">
        <v>13</v>
      </c>
      <c r="M2" s="6" t="s">
        <v>14</v>
      </c>
      <c r="N2" s="6" t="s">
        <v>15</v>
      </c>
      <c r="O2" s="6" t="s">
        <v>16</v>
      </c>
      <c r="P2" s="6" t="s">
        <v>17</v>
      </c>
    </row>
    <row r="3" spans="1:16" x14ac:dyDescent="0.25">
      <c r="A3" s="10">
        <v>3</v>
      </c>
      <c r="B3" s="11" t="s">
        <v>640</v>
      </c>
      <c r="C3" s="11" t="s">
        <v>108</v>
      </c>
      <c r="D3" s="11" t="s">
        <v>20</v>
      </c>
      <c r="E3" s="11">
        <v>1</v>
      </c>
      <c r="F3" s="14" t="str">
        <f t="shared" ref="F3:F6" si="0">LEFT(B3,FIND(" ",B3,1)+1)&amp;"."&amp;MID(B3,FIND(" ",B3,FIND(" ",B3,1)+1)+1,1)&amp;"."</f>
        <v>Воронов А.Н.</v>
      </c>
      <c r="G3" s="13"/>
      <c r="H3" s="19" t="s">
        <v>641</v>
      </c>
      <c r="I3" s="18" t="s">
        <v>642</v>
      </c>
      <c r="J3" s="11" t="s">
        <v>643</v>
      </c>
      <c r="K3" s="11" t="s">
        <v>24</v>
      </c>
      <c r="L3" s="11" t="s">
        <v>388</v>
      </c>
      <c r="M3" s="11" t="s">
        <v>26</v>
      </c>
      <c r="N3" s="11" t="s">
        <v>641</v>
      </c>
      <c r="O3" s="13"/>
      <c r="P3" s="14"/>
    </row>
    <row r="4" spans="1:16" x14ac:dyDescent="0.25">
      <c r="A4" s="10">
        <v>12</v>
      </c>
      <c r="B4" s="11" t="s">
        <v>644</v>
      </c>
      <c r="C4" s="20"/>
      <c r="D4" s="11" t="s">
        <v>20</v>
      </c>
      <c r="E4" s="11">
        <v>2</v>
      </c>
      <c r="F4" s="14" t="str">
        <f t="shared" si="0"/>
        <v>Миронов А.А.</v>
      </c>
      <c r="G4" s="13"/>
      <c r="H4" s="19" t="s">
        <v>645</v>
      </c>
      <c r="I4" s="18" t="s">
        <v>646</v>
      </c>
      <c r="J4" s="11" t="s">
        <v>643</v>
      </c>
      <c r="K4" s="11" t="s">
        <v>24</v>
      </c>
      <c r="L4" s="11" t="s">
        <v>48</v>
      </c>
      <c r="M4" s="11" t="s">
        <v>26</v>
      </c>
      <c r="N4" s="11"/>
      <c r="O4" s="13"/>
      <c r="P4" s="14"/>
    </row>
    <row r="5" spans="1:16" x14ac:dyDescent="0.25">
      <c r="A5" s="10">
        <v>10</v>
      </c>
      <c r="B5" s="11" t="s">
        <v>647</v>
      </c>
      <c r="C5" s="11" t="s">
        <v>108</v>
      </c>
      <c r="D5" s="11" t="s">
        <v>20</v>
      </c>
      <c r="E5" s="11">
        <v>3</v>
      </c>
      <c r="F5" s="14" t="str">
        <f t="shared" si="0"/>
        <v>Пилецкий Д.Е.</v>
      </c>
      <c r="G5" s="13"/>
      <c r="H5" s="19" t="s">
        <v>648</v>
      </c>
      <c r="I5" s="18" t="s">
        <v>649</v>
      </c>
      <c r="J5" s="11" t="s">
        <v>643</v>
      </c>
      <c r="K5" s="11" t="s">
        <v>24</v>
      </c>
      <c r="L5" s="11" t="s">
        <v>591</v>
      </c>
      <c r="M5" s="11" t="s">
        <v>26</v>
      </c>
      <c r="N5" s="11" t="s">
        <v>650</v>
      </c>
      <c r="O5" s="13"/>
      <c r="P5" s="18" t="s">
        <v>625</v>
      </c>
    </row>
    <row r="6" spans="1:16" x14ac:dyDescent="0.25">
      <c r="A6" s="10">
        <v>8</v>
      </c>
      <c r="B6" s="11" t="s">
        <v>651</v>
      </c>
      <c r="C6" s="11" t="s">
        <v>108</v>
      </c>
      <c r="D6" s="11" t="s">
        <v>20</v>
      </c>
      <c r="E6" s="11">
        <v>4</v>
      </c>
      <c r="F6" s="14" t="str">
        <f t="shared" si="0"/>
        <v>Шугаева М.Е.</v>
      </c>
      <c r="G6" s="13"/>
      <c r="H6" s="19" t="s">
        <v>652</v>
      </c>
      <c r="I6" s="18" t="s">
        <v>653</v>
      </c>
      <c r="J6" s="11" t="s">
        <v>643</v>
      </c>
      <c r="K6" s="11" t="s">
        <v>24</v>
      </c>
      <c r="L6" s="11" t="s">
        <v>356</v>
      </c>
      <c r="M6" s="11" t="s">
        <v>26</v>
      </c>
      <c r="N6" s="11" t="s">
        <v>654</v>
      </c>
      <c r="O6" s="13"/>
      <c r="P6" s="18" t="s">
        <v>655</v>
      </c>
    </row>
  </sheetData>
  <autoFilter ref="A2:N6" xr:uid="{00000000-0009-0000-0000-000003000000}">
    <sortState xmlns:xlrd2="http://schemas.microsoft.com/office/spreadsheetml/2017/richdata2" ref="A2:N6">
      <sortCondition ref="E2:E6"/>
    </sortState>
  </autoFilter>
  <mergeCells count="1">
    <mergeCell ref="A1:E1"/>
  </mergeCells>
  <dataValidations count="1">
    <dataValidation type="list" allowBlank="1" sqref="D3:D6" xr:uid="{00000000-0002-0000-0300-000000000000}">
      <formula1>"да,нет"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1000000}">
          <x14:formula1>
            <xm:f>temp!$G$2:$G6</xm:f>
          </x14:formula1>
          <xm:sqref>C3:C6</xm:sqref>
        </x14:dataValidation>
        <x14:dataValidation type="list" allowBlank="1" xr:uid="{00000000-0002-0000-0300-000002000000}">
          <x14:formula1>
            <xm:f>temp!$A$2:$A6</xm:f>
          </x14:formula1>
          <xm:sqref>J3:J6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8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2" max="2" width="22.33203125" customWidth="1"/>
    <col min="3" max="3" width="15.77734375" customWidth="1"/>
    <col min="6" max="6" width="15.21875" customWidth="1"/>
    <col min="7" max="7" width="26.88671875" customWidth="1"/>
    <col min="8" max="8" width="13.88671875" customWidth="1"/>
    <col min="9" max="9" width="18.33203125" customWidth="1"/>
  </cols>
  <sheetData>
    <row r="1" spans="1:16" x14ac:dyDescent="0.25">
      <c r="A1" s="109" t="s">
        <v>0</v>
      </c>
      <c r="B1" s="110"/>
      <c r="C1" s="110"/>
      <c r="D1" s="110"/>
      <c r="E1" s="111"/>
      <c r="F1" s="3" t="s">
        <v>1</v>
      </c>
      <c r="G1" s="4">
        <f>COUNTIF(E3:E8,"&lt;&gt;" &amp; "")</f>
        <v>6</v>
      </c>
      <c r="H1" s="4"/>
      <c r="I1" s="4"/>
      <c r="J1" s="4"/>
      <c r="K1" s="5"/>
      <c r="L1" s="5"/>
      <c r="M1" s="5"/>
      <c r="N1" s="5"/>
      <c r="O1" s="5"/>
      <c r="P1" s="5"/>
    </row>
    <row r="2" spans="1:16" x14ac:dyDescent="0.25">
      <c r="A2" s="6" t="s">
        <v>2</v>
      </c>
      <c r="B2" s="7" t="s">
        <v>3</v>
      </c>
      <c r="C2" s="7" t="s">
        <v>4</v>
      </c>
      <c r="D2" s="6" t="s">
        <v>5</v>
      </c>
      <c r="E2" s="7" t="s">
        <v>6</v>
      </c>
      <c r="F2" s="7" t="s">
        <v>7</v>
      </c>
      <c r="G2" s="4" t="s">
        <v>8</v>
      </c>
      <c r="H2" s="8" t="s">
        <v>9</v>
      </c>
      <c r="I2" s="8" t="s">
        <v>10</v>
      </c>
      <c r="J2" s="9" t="s">
        <v>11</v>
      </c>
      <c r="K2" s="5" t="s">
        <v>12</v>
      </c>
      <c r="L2" s="9" t="s">
        <v>13</v>
      </c>
      <c r="M2" s="6" t="s">
        <v>14</v>
      </c>
      <c r="N2" s="6" t="s">
        <v>15</v>
      </c>
      <c r="O2" s="6" t="s">
        <v>16</v>
      </c>
      <c r="P2" s="6" t="s">
        <v>17</v>
      </c>
    </row>
    <row r="3" spans="1:16" x14ac:dyDescent="0.25">
      <c r="A3" s="11">
        <v>1</v>
      </c>
      <c r="B3" s="11" t="s">
        <v>656</v>
      </c>
      <c r="C3" s="11" t="s">
        <v>108</v>
      </c>
      <c r="D3" s="11" t="s">
        <v>20</v>
      </c>
      <c r="E3" s="10">
        <v>1</v>
      </c>
      <c r="F3" s="14" t="str">
        <f t="shared" ref="F3:F8" si="0">LEFT(B3,FIND(" ",B3,1)+1)&amp;"."&amp;MID(B3,FIND(" ",B3,FIND(" ",B3,1)+1)+1,1)&amp;"."</f>
        <v>Хибатуллин А.Н.</v>
      </c>
      <c r="G3" s="11" t="s">
        <v>657</v>
      </c>
      <c r="H3" s="11" t="s">
        <v>658</v>
      </c>
      <c r="I3" s="18" t="s">
        <v>659</v>
      </c>
      <c r="J3" s="11" t="s">
        <v>660</v>
      </c>
      <c r="K3" s="11" t="s">
        <v>55</v>
      </c>
      <c r="L3" s="11" t="s">
        <v>661</v>
      </c>
      <c r="M3" s="11" t="s">
        <v>26</v>
      </c>
      <c r="N3" s="11" t="s">
        <v>662</v>
      </c>
      <c r="O3" s="14"/>
      <c r="P3" s="14"/>
    </row>
    <row r="4" spans="1:16" x14ac:dyDescent="0.25">
      <c r="A4" s="11">
        <v>2</v>
      </c>
      <c r="B4" s="11" t="s">
        <v>663</v>
      </c>
      <c r="C4" s="11" t="s">
        <v>108</v>
      </c>
      <c r="D4" s="11" t="s">
        <v>20</v>
      </c>
      <c r="E4" s="10">
        <v>2</v>
      </c>
      <c r="F4" s="14" t="str">
        <f t="shared" si="0"/>
        <v>Корсаков С.Е.</v>
      </c>
      <c r="G4" s="11" t="s">
        <v>664</v>
      </c>
      <c r="H4" s="11" t="s">
        <v>665</v>
      </c>
      <c r="I4" s="18" t="s">
        <v>666</v>
      </c>
      <c r="J4" s="11" t="s">
        <v>660</v>
      </c>
      <c r="K4" s="11" t="s">
        <v>55</v>
      </c>
      <c r="L4" s="11" t="s">
        <v>388</v>
      </c>
      <c r="M4" s="11" t="s">
        <v>26</v>
      </c>
      <c r="N4" s="11"/>
      <c r="O4" s="14"/>
      <c r="P4" s="14"/>
    </row>
    <row r="5" spans="1:16" x14ac:dyDescent="0.25">
      <c r="A5" s="11">
        <v>3</v>
      </c>
      <c r="B5" s="11" t="s">
        <v>667</v>
      </c>
      <c r="C5" s="11" t="s">
        <v>108</v>
      </c>
      <c r="D5" s="11" t="s">
        <v>20</v>
      </c>
      <c r="E5" s="10">
        <v>3</v>
      </c>
      <c r="F5" s="14" t="str">
        <f t="shared" si="0"/>
        <v>Мыкало С.А.</v>
      </c>
      <c r="G5" s="11" t="s">
        <v>668</v>
      </c>
      <c r="H5" s="11" t="s">
        <v>669</v>
      </c>
      <c r="I5" s="18" t="s">
        <v>670</v>
      </c>
      <c r="J5" s="11" t="s">
        <v>660</v>
      </c>
      <c r="K5" s="11" t="s">
        <v>55</v>
      </c>
      <c r="L5" s="11" t="s">
        <v>671</v>
      </c>
      <c r="M5" s="11" t="s">
        <v>26</v>
      </c>
      <c r="N5" s="11"/>
      <c r="O5" s="14"/>
      <c r="P5" s="14"/>
    </row>
    <row r="6" spans="1:16" x14ac:dyDescent="0.25">
      <c r="A6" s="11">
        <v>4</v>
      </c>
      <c r="B6" s="11" t="s">
        <v>672</v>
      </c>
      <c r="C6" s="11" t="s">
        <v>108</v>
      </c>
      <c r="D6" s="11" t="s">
        <v>20</v>
      </c>
      <c r="E6" s="10">
        <v>4</v>
      </c>
      <c r="F6" s="14" t="str">
        <f t="shared" si="0"/>
        <v>Зарянов В.Г.</v>
      </c>
      <c r="G6" s="11" t="s">
        <v>664</v>
      </c>
      <c r="H6" s="11" t="s">
        <v>673</v>
      </c>
      <c r="I6" s="18" t="s">
        <v>674</v>
      </c>
      <c r="J6" s="11" t="s">
        <v>660</v>
      </c>
      <c r="K6" s="11" t="s">
        <v>55</v>
      </c>
      <c r="L6" s="11" t="s">
        <v>675</v>
      </c>
      <c r="M6" s="11" t="s">
        <v>26</v>
      </c>
      <c r="N6" s="11"/>
      <c r="O6" s="14"/>
      <c r="P6" s="14"/>
    </row>
    <row r="7" spans="1:16" x14ac:dyDescent="0.25">
      <c r="A7" s="11">
        <v>5</v>
      </c>
      <c r="B7" s="11" t="s">
        <v>676</v>
      </c>
      <c r="C7" s="11" t="s">
        <v>108</v>
      </c>
      <c r="D7" s="11" t="s">
        <v>20</v>
      </c>
      <c r="E7" s="10">
        <v>5</v>
      </c>
      <c r="F7" s="14" t="str">
        <f t="shared" si="0"/>
        <v>Филиппов А.В.</v>
      </c>
      <c r="G7" s="11" t="s">
        <v>677</v>
      </c>
      <c r="H7" s="11" t="s">
        <v>678</v>
      </c>
      <c r="I7" s="18" t="s">
        <v>679</v>
      </c>
      <c r="J7" s="11" t="s">
        <v>660</v>
      </c>
      <c r="K7" s="11" t="s">
        <v>24</v>
      </c>
      <c r="L7" s="11" t="s">
        <v>680</v>
      </c>
      <c r="M7" s="11" t="s">
        <v>26</v>
      </c>
      <c r="N7" s="11" t="s">
        <v>681</v>
      </c>
      <c r="O7" s="14"/>
      <c r="P7" s="14"/>
    </row>
    <row r="8" spans="1:16" x14ac:dyDescent="0.25">
      <c r="A8" s="11">
        <v>6</v>
      </c>
      <c r="B8" s="11" t="s">
        <v>682</v>
      </c>
      <c r="C8" s="11" t="s">
        <v>683</v>
      </c>
      <c r="D8" s="11" t="s">
        <v>20</v>
      </c>
      <c r="E8" s="10">
        <v>6</v>
      </c>
      <c r="F8" s="14" t="str">
        <f t="shared" si="0"/>
        <v>Кияметдинов И.Х.</v>
      </c>
      <c r="G8" s="11" t="s">
        <v>684</v>
      </c>
      <c r="H8" s="11" t="s">
        <v>685</v>
      </c>
      <c r="I8" s="18" t="s">
        <v>686</v>
      </c>
      <c r="J8" s="11" t="s">
        <v>660</v>
      </c>
      <c r="K8" s="11" t="s">
        <v>55</v>
      </c>
      <c r="L8" s="11" t="s">
        <v>683</v>
      </c>
      <c r="M8" s="11" t="s">
        <v>26</v>
      </c>
      <c r="N8" s="11" t="s">
        <v>687</v>
      </c>
      <c r="O8" s="14"/>
      <c r="P8" s="14"/>
    </row>
  </sheetData>
  <mergeCells count="1">
    <mergeCell ref="A1:E1"/>
  </mergeCells>
  <dataValidations count="1">
    <dataValidation type="list" allowBlank="1" sqref="D3:D8" xr:uid="{00000000-0002-0000-0400-000000000000}">
      <formula1>"да,нет"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1000000}">
          <x14:formula1>
            <xm:f>temp!$G$2:$G8</xm:f>
          </x14:formula1>
          <xm:sqref>C3:C8</xm:sqref>
        </x14:dataValidation>
        <x14:dataValidation type="list" allowBlank="1" xr:uid="{00000000-0002-0000-0400-000002000000}">
          <x14:formula1>
            <xm:f>temp!$A$2:$A8</xm:f>
          </x14:formula1>
          <xm:sqref>J3:J8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8"/>
  <sheetViews>
    <sheetView workbookViewId="0">
      <selection sqref="A1:E1"/>
    </sheetView>
  </sheetViews>
  <sheetFormatPr defaultColWidth="12.6640625" defaultRowHeight="15.75" customHeight="1" x14ac:dyDescent="0.25"/>
  <cols>
    <col min="1" max="1" width="8.33203125" customWidth="1"/>
    <col min="2" max="2" width="29.88671875" customWidth="1"/>
    <col min="3" max="3" width="15" customWidth="1"/>
    <col min="4" max="4" width="12.44140625" customWidth="1"/>
    <col min="5" max="5" width="6.44140625" customWidth="1"/>
    <col min="6" max="6" width="12.109375" customWidth="1"/>
    <col min="7" max="7" width="21.6640625" customWidth="1"/>
    <col min="8" max="8" width="19.44140625" customWidth="1"/>
    <col min="9" max="9" width="15.77734375" customWidth="1"/>
    <col min="10" max="10" width="16.88671875" customWidth="1"/>
    <col min="11" max="11" width="12" customWidth="1"/>
    <col min="12" max="12" width="31.21875" customWidth="1"/>
  </cols>
  <sheetData>
    <row r="1" spans="1:16" x14ac:dyDescent="0.25">
      <c r="A1" s="109" t="s">
        <v>0</v>
      </c>
      <c r="B1" s="110"/>
      <c r="C1" s="110"/>
      <c r="D1" s="110"/>
      <c r="E1" s="111"/>
      <c r="F1" s="16" t="s">
        <v>1</v>
      </c>
      <c r="G1" s="4">
        <f>COUNTIF(E3:E8,"&lt;&gt;" &amp; "")</f>
        <v>6</v>
      </c>
      <c r="H1" s="4"/>
      <c r="I1" s="4"/>
      <c r="J1" s="4"/>
      <c r="K1" s="5"/>
      <c r="L1" s="5"/>
      <c r="M1" s="5"/>
      <c r="N1" s="5"/>
      <c r="O1" s="5"/>
      <c r="P1" s="5"/>
    </row>
    <row r="2" spans="1:16" x14ac:dyDescent="0.25">
      <c r="A2" s="6" t="s">
        <v>2</v>
      </c>
      <c r="B2" s="7" t="s">
        <v>3</v>
      </c>
      <c r="C2" s="7" t="s">
        <v>4</v>
      </c>
      <c r="D2" s="6" t="s">
        <v>5</v>
      </c>
      <c r="E2" s="7" t="s">
        <v>6</v>
      </c>
      <c r="F2" s="17" t="s">
        <v>7</v>
      </c>
      <c r="G2" s="4" t="s">
        <v>8</v>
      </c>
      <c r="H2" s="8" t="s">
        <v>9</v>
      </c>
      <c r="I2" s="8" t="s">
        <v>10</v>
      </c>
      <c r="J2" s="9" t="s">
        <v>11</v>
      </c>
      <c r="K2" s="5" t="s">
        <v>12</v>
      </c>
      <c r="L2" s="9" t="s">
        <v>13</v>
      </c>
      <c r="M2" s="6" t="s">
        <v>14</v>
      </c>
      <c r="N2" s="6" t="s">
        <v>15</v>
      </c>
      <c r="O2" s="6" t="s">
        <v>16</v>
      </c>
      <c r="P2" s="6" t="s">
        <v>17</v>
      </c>
    </row>
    <row r="3" spans="1:16" x14ac:dyDescent="0.25">
      <c r="A3" s="11">
        <v>-1</v>
      </c>
      <c r="B3" s="11" t="s">
        <v>688</v>
      </c>
      <c r="C3" s="11" t="s">
        <v>108</v>
      </c>
      <c r="D3" s="11" t="s">
        <v>20</v>
      </c>
      <c r="E3" s="11">
        <v>1</v>
      </c>
      <c r="F3" s="12" t="str">
        <f>LEFT(B3,FIND(" ",B3,1)+1)&amp;"."&amp;MID(B3,FIND(" ",B3,FIND(" ",B3,1)+1)+1,1)&amp;"."</f>
        <v>Погодин Д.Д.</v>
      </c>
      <c r="G3" s="11" t="s">
        <v>664</v>
      </c>
      <c r="H3" s="11" t="s">
        <v>689</v>
      </c>
      <c r="I3" s="18" t="s">
        <v>690</v>
      </c>
      <c r="J3" s="11" t="s">
        <v>23</v>
      </c>
      <c r="K3" s="11" t="s">
        <v>55</v>
      </c>
      <c r="L3" s="11" t="s">
        <v>691</v>
      </c>
      <c r="M3" s="11" t="s">
        <v>26</v>
      </c>
      <c r="N3" s="11"/>
      <c r="O3" s="11"/>
      <c r="P3" s="14"/>
    </row>
    <row r="4" spans="1:16" x14ac:dyDescent="0.25">
      <c r="A4" s="11">
        <v>-2</v>
      </c>
      <c r="B4" s="11" t="s">
        <v>692</v>
      </c>
      <c r="C4" s="11" t="s">
        <v>93</v>
      </c>
      <c r="D4" s="11" t="s">
        <v>20</v>
      </c>
      <c r="E4" s="11">
        <v>2</v>
      </c>
      <c r="F4" s="11" t="s">
        <v>693</v>
      </c>
      <c r="G4" s="11" t="s">
        <v>664</v>
      </c>
      <c r="H4" s="11" t="s">
        <v>694</v>
      </c>
      <c r="I4" s="18" t="s">
        <v>695</v>
      </c>
      <c r="J4" s="11" t="s">
        <v>643</v>
      </c>
      <c r="K4" s="11" t="s">
        <v>55</v>
      </c>
      <c r="L4" s="11" t="s">
        <v>86</v>
      </c>
      <c r="M4" s="11" t="s">
        <v>26</v>
      </c>
      <c r="N4" s="11"/>
      <c r="O4" s="11"/>
      <c r="P4" s="14"/>
    </row>
    <row r="5" spans="1:16" x14ac:dyDescent="0.25">
      <c r="A5" s="11">
        <v>-3</v>
      </c>
      <c r="B5" s="11" t="s">
        <v>696</v>
      </c>
      <c r="C5" s="11" t="s">
        <v>697</v>
      </c>
      <c r="D5" s="11" t="s">
        <v>20</v>
      </c>
      <c r="E5" s="11">
        <v>3</v>
      </c>
      <c r="F5" s="14" t="str">
        <f t="shared" ref="F5:F7" si="0">LEFT(B5,FIND(" ",B5,1)+1)&amp;"."&amp;MID(B5,FIND(" ",B5,FIND(" ",B5,1)+1)+1,1)&amp;"."</f>
        <v>Функ А.И.</v>
      </c>
      <c r="G5" s="11"/>
      <c r="H5" s="11" t="s">
        <v>698</v>
      </c>
      <c r="I5" s="18" t="s">
        <v>699</v>
      </c>
      <c r="J5" s="11" t="s">
        <v>23</v>
      </c>
      <c r="K5" s="11" t="s">
        <v>700</v>
      </c>
      <c r="L5" s="11" t="s">
        <v>701</v>
      </c>
      <c r="M5" s="11" t="s">
        <v>26</v>
      </c>
      <c r="N5" s="11" t="s">
        <v>702</v>
      </c>
      <c r="O5" s="11"/>
      <c r="P5" s="14"/>
    </row>
    <row r="6" spans="1:16" x14ac:dyDescent="0.25">
      <c r="A6" s="11">
        <v>-4</v>
      </c>
      <c r="B6" s="11" t="s">
        <v>703</v>
      </c>
      <c r="C6" s="11" t="s">
        <v>697</v>
      </c>
      <c r="D6" s="11" t="s">
        <v>20</v>
      </c>
      <c r="E6" s="11">
        <v>4</v>
      </c>
      <c r="F6" s="14" t="str">
        <f t="shared" si="0"/>
        <v>Сумин Е.В.</v>
      </c>
      <c r="G6" s="11"/>
      <c r="H6" s="11" t="s">
        <v>704</v>
      </c>
      <c r="I6" s="18" t="s">
        <v>705</v>
      </c>
      <c r="J6" s="11" t="s">
        <v>23</v>
      </c>
      <c r="K6" s="11" t="s">
        <v>706</v>
      </c>
      <c r="L6" s="11" t="s">
        <v>701</v>
      </c>
      <c r="M6" s="11" t="s">
        <v>26</v>
      </c>
      <c r="N6" s="11" t="s">
        <v>707</v>
      </c>
      <c r="O6" s="11"/>
      <c r="P6" s="14"/>
    </row>
    <row r="7" spans="1:16" x14ac:dyDescent="0.25">
      <c r="A7" s="11">
        <v>-5</v>
      </c>
      <c r="B7" s="11" t="s">
        <v>708</v>
      </c>
      <c r="C7" s="11" t="s">
        <v>697</v>
      </c>
      <c r="D7" s="11" t="s">
        <v>20</v>
      </c>
      <c r="E7" s="11">
        <v>5</v>
      </c>
      <c r="F7" s="14" t="str">
        <f t="shared" si="0"/>
        <v>Аркаев А.С.</v>
      </c>
      <c r="G7" s="11"/>
      <c r="H7" s="11" t="s">
        <v>709</v>
      </c>
      <c r="I7" s="18" t="s">
        <v>710</v>
      </c>
      <c r="J7" s="11" t="s">
        <v>23</v>
      </c>
      <c r="K7" s="11" t="s">
        <v>706</v>
      </c>
      <c r="L7" s="11" t="s">
        <v>701</v>
      </c>
      <c r="M7" s="11" t="s">
        <v>26</v>
      </c>
      <c r="N7" s="11" t="s">
        <v>711</v>
      </c>
      <c r="O7" s="11"/>
      <c r="P7" s="14"/>
    </row>
    <row r="8" spans="1:16" x14ac:dyDescent="0.25">
      <c r="A8" s="11">
        <v>-6</v>
      </c>
      <c r="B8" s="20" t="s">
        <v>712</v>
      </c>
      <c r="C8" s="11" t="s">
        <v>697</v>
      </c>
      <c r="D8" s="11" t="s">
        <v>20</v>
      </c>
      <c r="E8" s="11">
        <v>6</v>
      </c>
      <c r="F8" s="11" t="s">
        <v>713</v>
      </c>
      <c r="G8" s="11"/>
      <c r="H8" s="11" t="s">
        <v>714</v>
      </c>
      <c r="I8" s="18" t="s">
        <v>715</v>
      </c>
      <c r="J8" s="11" t="s">
        <v>23</v>
      </c>
      <c r="K8" s="11" t="s">
        <v>706</v>
      </c>
      <c r="L8" s="11" t="s">
        <v>701</v>
      </c>
      <c r="M8" s="11" t="s">
        <v>26</v>
      </c>
      <c r="N8" s="11" t="s">
        <v>716</v>
      </c>
      <c r="O8" s="11"/>
      <c r="P8" s="14"/>
    </row>
  </sheetData>
  <mergeCells count="1">
    <mergeCell ref="A1:E1"/>
  </mergeCells>
  <dataValidations count="1">
    <dataValidation type="list" allowBlank="1" showErrorMessage="1" sqref="D3:D8" xr:uid="{00000000-0002-0000-0500-000000000000}">
      <formula1>"да,нет"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2000000}">
          <x14:formula1>
            <xm:f>Отделы!$A$2:$A$23</xm:f>
          </x14:formula1>
          <xm:sqref>C3:C8</xm:sqref>
        </x14:dataValidation>
        <x14:dataValidation type="list" allowBlank="1" showErrorMessage="1" xr:uid="{00000000-0002-0000-0500-000001000000}">
          <x14:formula1>
            <xm:f>temp!$A$2:$A8</xm:f>
          </x14:formula1>
          <xm:sqref>J3:J8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3"/>
  <sheetViews>
    <sheetView workbookViewId="0">
      <selection sqref="A1:E1"/>
    </sheetView>
  </sheetViews>
  <sheetFormatPr defaultColWidth="12.6640625" defaultRowHeight="15.75" customHeight="1" x14ac:dyDescent="0.25"/>
  <cols>
    <col min="1" max="1" width="8.33203125" customWidth="1"/>
    <col min="2" max="2" width="30.6640625" customWidth="1"/>
    <col min="3" max="3" width="31.44140625" customWidth="1"/>
    <col min="4" max="4" width="12.44140625" customWidth="1"/>
    <col min="5" max="5" width="6.44140625" customWidth="1"/>
    <col min="6" max="6" width="12.109375" customWidth="1"/>
    <col min="7" max="7" width="21.6640625" customWidth="1"/>
    <col min="8" max="8" width="19.44140625" customWidth="1"/>
    <col min="9" max="9" width="19.33203125" customWidth="1"/>
    <col min="10" max="10" width="23.33203125" customWidth="1"/>
    <col min="11" max="11" width="14.6640625" customWidth="1"/>
    <col min="12" max="12" width="40.6640625" customWidth="1"/>
    <col min="13" max="13" width="22.6640625" customWidth="1"/>
    <col min="14" max="14" width="20.109375" customWidth="1"/>
    <col min="15" max="15" width="20" customWidth="1"/>
    <col min="16" max="16" width="13.88671875" customWidth="1"/>
  </cols>
  <sheetData>
    <row r="1" spans="1:16" x14ac:dyDescent="0.25">
      <c r="A1" s="109" t="s">
        <v>0</v>
      </c>
      <c r="B1" s="110"/>
      <c r="C1" s="110"/>
      <c r="D1" s="110"/>
      <c r="E1" s="111"/>
      <c r="F1" s="16" t="s">
        <v>1</v>
      </c>
      <c r="G1" s="4">
        <f>COUNTIF(E3,"&lt;&gt;" &amp; "")</f>
        <v>1</v>
      </c>
      <c r="H1" s="4"/>
      <c r="I1" s="4"/>
      <c r="J1" s="4"/>
      <c r="K1" s="5"/>
      <c r="L1" s="5"/>
      <c r="M1" s="5"/>
      <c r="N1" s="5"/>
      <c r="O1" s="5"/>
      <c r="P1" s="5"/>
    </row>
    <row r="2" spans="1:16" x14ac:dyDescent="0.25">
      <c r="A2" s="6" t="s">
        <v>2</v>
      </c>
      <c r="B2" s="7" t="s">
        <v>3</v>
      </c>
      <c r="C2" s="7" t="s">
        <v>4</v>
      </c>
      <c r="D2" s="6" t="s">
        <v>5</v>
      </c>
      <c r="E2" s="7" t="s">
        <v>6</v>
      </c>
      <c r="F2" s="17" t="s">
        <v>7</v>
      </c>
      <c r="G2" s="4" t="s">
        <v>8</v>
      </c>
      <c r="H2" s="8" t="s">
        <v>9</v>
      </c>
      <c r="I2" s="8" t="s">
        <v>10</v>
      </c>
      <c r="J2" s="9" t="s">
        <v>11</v>
      </c>
      <c r="K2" s="5" t="s">
        <v>12</v>
      </c>
      <c r="L2" s="9" t="s">
        <v>13</v>
      </c>
      <c r="M2" s="6" t="s">
        <v>14</v>
      </c>
      <c r="N2" s="6" t="s">
        <v>15</v>
      </c>
      <c r="O2" s="6" t="s">
        <v>16</v>
      </c>
      <c r="P2" s="6" t="s">
        <v>17</v>
      </c>
    </row>
    <row r="3" spans="1:16" x14ac:dyDescent="0.25">
      <c r="A3" s="11">
        <v>66</v>
      </c>
      <c r="B3" s="11" t="s">
        <v>717</v>
      </c>
      <c r="C3" s="11" t="s">
        <v>35</v>
      </c>
      <c r="D3" s="11" t="s">
        <v>20</v>
      </c>
      <c r="E3" s="11">
        <v>5</v>
      </c>
      <c r="F3" s="14" t="str">
        <f>LEFT(B3,FIND(" ",B3,1)+1)&amp;"."&amp;MID(B3,FIND(" ",B3,FIND(" ",B3,1)+1)+1,1)&amp;"."</f>
        <v>Зубрия В.А.</v>
      </c>
      <c r="G3" s="11" t="s">
        <v>34</v>
      </c>
      <c r="H3" s="11"/>
      <c r="I3" s="18" t="s">
        <v>718</v>
      </c>
      <c r="J3" s="11" t="s">
        <v>23</v>
      </c>
      <c r="K3" s="11" t="s">
        <v>24</v>
      </c>
      <c r="L3" s="11" t="s">
        <v>177</v>
      </c>
      <c r="M3" s="11" t="s">
        <v>258</v>
      </c>
      <c r="N3" s="11" t="s">
        <v>719</v>
      </c>
      <c r="O3" s="11"/>
      <c r="P3" s="14"/>
    </row>
  </sheetData>
  <mergeCells count="1">
    <mergeCell ref="A1:E1"/>
  </mergeCells>
  <dataValidations count="1">
    <dataValidation type="list" allowBlank="1" sqref="D3" xr:uid="{00000000-0002-0000-0600-000000000000}">
      <formula1>"да,нет"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1000000}">
          <x14:formula1>
            <xm:f>temp!$G$2:$G3</xm:f>
          </x14:formula1>
          <xm:sqref>C3</xm:sqref>
        </x14:dataValidation>
        <x14:dataValidation type="list" allowBlank="1" xr:uid="{00000000-0002-0000-0600-000002000000}">
          <x14:formula1>
            <xm:f>temp!$A$2:$A3</xm:f>
          </x14:formula1>
          <xm:sqref>J3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  <outlinePr summaryBelow="0" summaryRight="0"/>
  </sheetPr>
  <dimension ref="A1:I24"/>
  <sheetViews>
    <sheetView workbookViewId="0">
      <pane ySplit="1" topLeftCell="A2" activePane="bottomLeft" state="frozen"/>
      <selection pane="bottomLeft" activeCell="A6" sqref="A6:XFD6"/>
    </sheetView>
  </sheetViews>
  <sheetFormatPr defaultColWidth="12.6640625" defaultRowHeight="15.75" customHeight="1" x14ac:dyDescent="0.25"/>
  <cols>
    <col min="1" max="1" width="31.44140625" customWidth="1"/>
    <col min="2" max="2" width="16.21875" customWidth="1"/>
    <col min="3" max="3" width="11.21875" customWidth="1"/>
    <col min="4" max="4" width="32.6640625" customWidth="1"/>
    <col min="5" max="5" width="18.77734375" customWidth="1"/>
    <col min="6" max="6" width="37.109375" customWidth="1"/>
    <col min="7" max="7" width="43.33203125" customWidth="1"/>
    <col min="8" max="9" width="11.21875" customWidth="1"/>
  </cols>
  <sheetData>
    <row r="1" spans="1:9" x14ac:dyDescent="0.25">
      <c r="A1" s="21" t="s">
        <v>720</v>
      </c>
      <c r="B1" s="21" t="s">
        <v>721</v>
      </c>
      <c r="C1" s="22" t="s">
        <v>722</v>
      </c>
      <c r="D1" s="7" t="s">
        <v>723</v>
      </c>
      <c r="E1" s="6" t="s">
        <v>724</v>
      </c>
      <c r="F1" s="4" t="s">
        <v>725</v>
      </c>
      <c r="G1" s="22" t="s">
        <v>726</v>
      </c>
      <c r="H1" s="6" t="s">
        <v>727</v>
      </c>
      <c r="I1" s="23">
        <v>23</v>
      </c>
    </row>
    <row r="2" spans="1:9" x14ac:dyDescent="0.25">
      <c r="A2" s="24" t="s">
        <v>35</v>
      </c>
      <c r="B2" s="15" t="b">
        <v>0</v>
      </c>
      <c r="C2" s="15" t="b">
        <v>0</v>
      </c>
      <c r="D2" s="24" t="s">
        <v>35</v>
      </c>
      <c r="E2" s="12"/>
      <c r="F2" s="25"/>
      <c r="G2" s="26"/>
      <c r="H2" s="26" t="b">
        <v>0</v>
      </c>
      <c r="I2" s="26"/>
    </row>
    <row r="3" spans="1:9" x14ac:dyDescent="0.25">
      <c r="A3" s="24" t="s">
        <v>19</v>
      </c>
      <c r="B3" s="15" t="b">
        <v>1</v>
      </c>
      <c r="C3" s="15" t="b">
        <v>1</v>
      </c>
      <c r="D3" s="24" t="s">
        <v>19</v>
      </c>
      <c r="E3" s="12"/>
      <c r="F3" s="25" t="s">
        <v>728</v>
      </c>
      <c r="G3" s="26" t="s">
        <v>729</v>
      </c>
      <c r="H3" s="26" t="b">
        <v>1</v>
      </c>
      <c r="I3" s="26"/>
    </row>
    <row r="4" spans="1:9" x14ac:dyDescent="0.25">
      <c r="A4" s="24" t="s">
        <v>93</v>
      </c>
      <c r="B4" s="15" t="b">
        <v>1</v>
      </c>
      <c r="C4" s="15" t="b">
        <v>1</v>
      </c>
      <c r="D4" s="24" t="s">
        <v>93</v>
      </c>
      <c r="E4" s="12"/>
      <c r="F4" s="25" t="s">
        <v>730</v>
      </c>
      <c r="G4" s="26" t="s">
        <v>731</v>
      </c>
      <c r="H4" s="26" t="b">
        <v>1</v>
      </c>
      <c r="I4" s="27"/>
    </row>
    <row r="5" spans="1:9" x14ac:dyDescent="0.25">
      <c r="A5" s="24" t="s">
        <v>249</v>
      </c>
      <c r="B5" s="15" t="b">
        <v>0</v>
      </c>
      <c r="C5" s="15" t="b">
        <v>0</v>
      </c>
      <c r="D5" s="24" t="s">
        <v>249</v>
      </c>
      <c r="E5" s="12"/>
      <c r="F5" s="25"/>
      <c r="G5" s="26"/>
      <c r="H5" s="26" t="b">
        <v>0</v>
      </c>
      <c r="I5" s="26"/>
    </row>
    <row r="6" spans="1:9" x14ac:dyDescent="0.25">
      <c r="A6" s="24" t="s">
        <v>70</v>
      </c>
      <c r="B6" s="15" t="b">
        <v>1</v>
      </c>
      <c r="C6" s="15" t="b">
        <v>1</v>
      </c>
      <c r="D6" s="24" t="s">
        <v>70</v>
      </c>
      <c r="E6" s="12"/>
      <c r="F6" s="25" t="s">
        <v>732</v>
      </c>
      <c r="G6" s="26" t="s">
        <v>733</v>
      </c>
      <c r="H6" s="26" t="b">
        <v>1</v>
      </c>
      <c r="I6" s="26"/>
    </row>
    <row r="7" spans="1:9" x14ac:dyDescent="0.25">
      <c r="A7" s="24" t="s">
        <v>52</v>
      </c>
      <c r="B7" s="15" t="b">
        <v>1</v>
      </c>
      <c r="C7" s="15" t="b">
        <v>1</v>
      </c>
      <c r="D7" s="24" t="s">
        <v>52</v>
      </c>
      <c r="E7" s="12"/>
      <c r="F7" s="25" t="s">
        <v>734</v>
      </c>
      <c r="G7" s="26" t="s">
        <v>735</v>
      </c>
      <c r="H7" s="26" t="b">
        <v>1</v>
      </c>
      <c r="I7" s="26"/>
    </row>
    <row r="8" spans="1:9" x14ac:dyDescent="0.25">
      <c r="A8" s="24" t="s">
        <v>46</v>
      </c>
      <c r="B8" s="15" t="b">
        <v>0</v>
      </c>
      <c r="C8" s="15" t="b">
        <v>0</v>
      </c>
      <c r="D8" s="24" t="s">
        <v>46</v>
      </c>
      <c r="E8" s="12"/>
      <c r="F8" s="27"/>
      <c r="G8" s="26"/>
      <c r="H8" s="26" t="b">
        <v>0</v>
      </c>
      <c r="I8" s="26"/>
    </row>
    <row r="9" spans="1:9" x14ac:dyDescent="0.25">
      <c r="A9" s="24" t="s">
        <v>58</v>
      </c>
      <c r="B9" s="15" t="b">
        <v>1</v>
      </c>
      <c r="C9" s="15" t="b">
        <v>1</v>
      </c>
      <c r="D9" s="24" t="s">
        <v>58</v>
      </c>
      <c r="E9" s="12"/>
      <c r="F9" s="25" t="s">
        <v>736</v>
      </c>
      <c r="G9" s="26" t="s">
        <v>737</v>
      </c>
      <c r="H9" s="26" t="b">
        <v>1</v>
      </c>
      <c r="I9" s="26"/>
    </row>
    <row r="10" spans="1:9" x14ac:dyDescent="0.25">
      <c r="A10" s="24" t="s">
        <v>88</v>
      </c>
      <c r="B10" s="15" t="b">
        <v>1</v>
      </c>
      <c r="C10" s="15" t="b">
        <v>1</v>
      </c>
      <c r="D10" s="24" t="s">
        <v>88</v>
      </c>
      <c r="E10" s="12"/>
      <c r="F10" s="25" t="s">
        <v>738</v>
      </c>
      <c r="G10" s="26" t="s">
        <v>739</v>
      </c>
      <c r="H10" s="26" t="b">
        <v>1</v>
      </c>
      <c r="I10" s="26"/>
    </row>
    <row r="11" spans="1:9" x14ac:dyDescent="0.25">
      <c r="A11" s="24" t="s">
        <v>83</v>
      </c>
      <c r="B11" s="15" t="b">
        <v>1</v>
      </c>
      <c r="C11" s="15" t="b">
        <v>1</v>
      </c>
      <c r="D11" s="24" t="s">
        <v>83</v>
      </c>
      <c r="E11" s="12"/>
      <c r="F11" s="25" t="s">
        <v>740</v>
      </c>
      <c r="G11" s="26" t="s">
        <v>741</v>
      </c>
      <c r="H11" s="26" t="b">
        <v>1</v>
      </c>
      <c r="I11" s="26"/>
    </row>
    <row r="12" spans="1:9" x14ac:dyDescent="0.25">
      <c r="A12" s="28" t="s">
        <v>29</v>
      </c>
      <c r="B12" s="15" t="b">
        <v>0</v>
      </c>
      <c r="C12" s="15" t="b">
        <v>0</v>
      </c>
      <c r="D12" s="28" t="s">
        <v>29</v>
      </c>
      <c r="E12" s="12"/>
      <c r="F12" s="25"/>
      <c r="G12" s="26"/>
      <c r="H12" s="26" t="b">
        <v>0</v>
      </c>
      <c r="I12" s="26"/>
    </row>
    <row r="13" spans="1:9" x14ac:dyDescent="0.25">
      <c r="A13" s="24" t="s">
        <v>108</v>
      </c>
      <c r="B13" s="15" t="b">
        <v>0</v>
      </c>
      <c r="C13" s="15" t="b">
        <v>0</v>
      </c>
      <c r="D13" s="24" t="s">
        <v>108</v>
      </c>
      <c r="E13" s="12"/>
      <c r="F13" s="25" t="s">
        <v>742</v>
      </c>
      <c r="G13" s="26" t="s">
        <v>743</v>
      </c>
      <c r="H13" s="26" t="b">
        <v>0</v>
      </c>
      <c r="I13" s="26"/>
    </row>
    <row r="14" spans="1:9" x14ac:dyDescent="0.25">
      <c r="A14" s="24" t="s">
        <v>589</v>
      </c>
      <c r="B14" s="15" t="b">
        <v>0</v>
      </c>
      <c r="C14" s="15" t="b">
        <v>0</v>
      </c>
      <c r="D14" s="24" t="s">
        <v>589</v>
      </c>
      <c r="E14" s="12"/>
      <c r="F14" s="25"/>
      <c r="G14" s="26"/>
      <c r="H14" s="26" t="b">
        <v>0</v>
      </c>
      <c r="I14" s="26"/>
    </row>
    <row r="15" spans="1:9" x14ac:dyDescent="0.25">
      <c r="A15" s="24" t="s">
        <v>163</v>
      </c>
      <c r="B15" s="15" t="b">
        <v>0</v>
      </c>
      <c r="C15" s="15" t="b">
        <v>0</v>
      </c>
      <c r="D15" s="24" t="s">
        <v>163</v>
      </c>
      <c r="E15" s="12"/>
      <c r="F15" s="25"/>
      <c r="G15" s="26"/>
      <c r="H15" s="26" t="b">
        <v>0</v>
      </c>
      <c r="I15" s="26"/>
    </row>
    <row r="16" spans="1:9" x14ac:dyDescent="0.25">
      <c r="A16" s="24" t="s">
        <v>174</v>
      </c>
      <c r="B16" s="15" t="b">
        <v>1</v>
      </c>
      <c r="C16" s="15" t="b">
        <v>1</v>
      </c>
      <c r="D16" s="24" t="s">
        <v>174</v>
      </c>
      <c r="E16" s="12"/>
      <c r="F16" s="25" t="s">
        <v>744</v>
      </c>
      <c r="G16" s="26" t="s">
        <v>745</v>
      </c>
      <c r="H16" s="26" t="b">
        <v>1</v>
      </c>
      <c r="I16" s="26"/>
    </row>
    <row r="17" spans="1:9" x14ac:dyDescent="0.25">
      <c r="A17" s="28" t="s">
        <v>315</v>
      </c>
      <c r="B17" s="15" t="b">
        <v>0</v>
      </c>
      <c r="C17" s="15" t="b">
        <v>0</v>
      </c>
      <c r="D17" s="28" t="s">
        <v>315</v>
      </c>
      <c r="E17" s="12"/>
      <c r="F17" s="25"/>
      <c r="G17" s="26"/>
      <c r="H17" s="26" t="b">
        <v>0</v>
      </c>
      <c r="I17" s="26"/>
    </row>
    <row r="18" spans="1:9" x14ac:dyDescent="0.25">
      <c r="A18" s="28" t="s">
        <v>199</v>
      </c>
      <c r="B18" s="15" t="b">
        <v>0</v>
      </c>
      <c r="C18" s="15" t="b">
        <v>0</v>
      </c>
      <c r="D18" s="28" t="s">
        <v>199</v>
      </c>
      <c r="E18" s="12"/>
      <c r="F18" s="25"/>
      <c r="G18" s="26"/>
      <c r="H18" s="26" t="b">
        <v>0</v>
      </c>
      <c r="I18" s="26"/>
    </row>
    <row r="19" spans="1:9" x14ac:dyDescent="0.25">
      <c r="A19" s="24" t="s">
        <v>746</v>
      </c>
      <c r="B19" s="15" t="b">
        <v>0</v>
      </c>
      <c r="C19" s="15" t="b">
        <v>0</v>
      </c>
      <c r="D19" s="24" t="s">
        <v>746</v>
      </c>
      <c r="E19" s="12"/>
      <c r="F19" s="25"/>
      <c r="G19" s="26"/>
      <c r="H19" s="26" t="b">
        <v>0</v>
      </c>
      <c r="I19" s="26"/>
    </row>
    <row r="20" spans="1:9" x14ac:dyDescent="0.25">
      <c r="A20" s="24" t="s">
        <v>235</v>
      </c>
      <c r="B20" s="15" t="b">
        <v>0</v>
      </c>
      <c r="C20" s="15" t="b">
        <v>0</v>
      </c>
      <c r="D20" s="24" t="s">
        <v>235</v>
      </c>
      <c r="E20" s="12"/>
      <c r="F20" s="25"/>
      <c r="G20" s="26"/>
      <c r="H20" s="26" t="b">
        <v>0</v>
      </c>
      <c r="I20" s="26"/>
    </row>
    <row r="21" spans="1:9" x14ac:dyDescent="0.25">
      <c r="A21" s="24" t="s">
        <v>333</v>
      </c>
      <c r="B21" s="15" t="b">
        <v>0</v>
      </c>
      <c r="C21" s="15" t="b">
        <v>0</v>
      </c>
      <c r="D21" s="24" t="s">
        <v>333</v>
      </c>
      <c r="E21" s="12"/>
      <c r="F21" s="25"/>
      <c r="G21" s="26"/>
      <c r="H21" s="26" t="b">
        <v>0</v>
      </c>
      <c r="I21" s="26"/>
    </row>
    <row r="22" spans="1:9" x14ac:dyDescent="0.25">
      <c r="A22" s="24" t="s">
        <v>747</v>
      </c>
      <c r="B22" s="15" t="b">
        <v>0</v>
      </c>
      <c r="C22" s="15" t="b">
        <v>0</v>
      </c>
      <c r="D22" s="24" t="s">
        <v>747</v>
      </c>
      <c r="E22" s="12"/>
      <c r="F22" s="25"/>
      <c r="G22" s="26"/>
      <c r="H22" s="26" t="b">
        <v>0</v>
      </c>
      <c r="I22" s="26"/>
    </row>
    <row r="23" spans="1:9" x14ac:dyDescent="0.25">
      <c r="A23" s="24" t="s">
        <v>697</v>
      </c>
      <c r="B23" s="15" t="b">
        <v>1</v>
      </c>
      <c r="C23" s="15" t="b">
        <v>1</v>
      </c>
      <c r="D23" s="29" t="s">
        <v>697</v>
      </c>
      <c r="E23" s="12"/>
      <c r="F23" s="25" t="s">
        <v>748</v>
      </c>
      <c r="G23" s="26" t="s">
        <v>749</v>
      </c>
      <c r="H23" s="26" t="b">
        <v>1</v>
      </c>
      <c r="I23" s="26"/>
    </row>
    <row r="24" spans="1:9" x14ac:dyDescent="0.25">
      <c r="A24" s="24" t="s">
        <v>683</v>
      </c>
      <c r="B24" s="15" t="b">
        <v>1</v>
      </c>
      <c r="C24" s="15" t="b">
        <v>1</v>
      </c>
      <c r="D24" s="24" t="s">
        <v>683</v>
      </c>
      <c r="E24" s="12"/>
      <c r="F24" s="25" t="s">
        <v>750</v>
      </c>
      <c r="G24" s="26" t="s">
        <v>751</v>
      </c>
      <c r="H24" s="26" t="b">
        <v>1</v>
      </c>
      <c r="I24" s="26"/>
    </row>
  </sheetData>
  <dataValidations count="1">
    <dataValidation type="list" allowBlank="1" showErrorMessage="1" sqref="E2:E24" xr:uid="{00000000-0002-0000-0700-000000000000}">
      <formula1>"да,нет"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87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1" width="30.6640625" customWidth="1"/>
    <col min="2" max="2" width="46.44140625" customWidth="1"/>
    <col min="3" max="3" width="12.6640625" customWidth="1"/>
    <col min="4" max="4" width="21.109375" customWidth="1"/>
    <col min="5" max="5" width="34.21875" customWidth="1"/>
    <col min="6" max="6" width="12.6640625" customWidth="1"/>
  </cols>
  <sheetData>
    <row r="1" spans="1:6" ht="18.75" customHeight="1" x14ac:dyDescent="0.25">
      <c r="A1" s="1" t="s">
        <v>752</v>
      </c>
      <c r="B1" s="1" t="s">
        <v>753</v>
      </c>
      <c r="C1" s="2"/>
      <c r="D1" s="1" t="s">
        <v>754</v>
      </c>
      <c r="E1" s="1" t="s">
        <v>755</v>
      </c>
      <c r="F1" s="1" t="s">
        <v>756</v>
      </c>
    </row>
    <row r="2" spans="1:6" ht="18.75" customHeight="1" x14ac:dyDescent="0.25">
      <c r="A2" s="15" t="s">
        <v>757</v>
      </c>
      <c r="B2" s="15" t="s">
        <v>758</v>
      </c>
      <c r="C2" s="30"/>
      <c r="D2" s="15" t="s">
        <v>759</v>
      </c>
      <c r="E2" s="15" t="s">
        <v>758</v>
      </c>
      <c r="F2" s="31"/>
    </row>
    <row r="3" spans="1:6" ht="18.75" customHeight="1" x14ac:dyDescent="0.25">
      <c r="A3" s="25" t="s">
        <v>93</v>
      </c>
      <c r="B3" s="27" t="str">
        <f>Отделы!G4</f>
        <v>16qlpxW9mDsG0YUvMOBNlwHyhMsDRVpgOo1JxYN7DzPA</v>
      </c>
      <c r="C3" s="30"/>
      <c r="D3" s="27" t="str">
        <f>Отделы!D4</f>
        <v>Уч. сборки</v>
      </c>
      <c r="E3" s="27" t="str">
        <f>Отделы!F4</f>
        <v>19tbOUcAMw5F5A8QS9zOB9dWKXLMysBsp</v>
      </c>
      <c r="F3" s="30"/>
    </row>
    <row r="4" spans="1:6" ht="18.75" customHeight="1" x14ac:dyDescent="0.25">
      <c r="A4" s="27" t="str">
        <f>Отделы!A5</f>
        <v>Уч. монтажа КИПиА и АСУТП (Ел)</v>
      </c>
      <c r="B4" s="27">
        <f>Отделы!G5</f>
        <v>0</v>
      </c>
      <c r="C4" s="30"/>
      <c r="D4" s="27" t="str">
        <f>Отделы!D5</f>
        <v>Уч. монтажа КИПиА и АСУТП (Ел)</v>
      </c>
      <c r="E4" s="27">
        <f>Отделы!F5</f>
        <v>0</v>
      </c>
      <c r="F4" s="30"/>
    </row>
    <row r="5" spans="1:6" ht="18.75" customHeight="1" x14ac:dyDescent="0.25">
      <c r="A5" s="27" t="str">
        <f>Отделы!A2</f>
        <v>Служба диагностики и ТК</v>
      </c>
      <c r="B5" s="27">
        <f>Отделы!G2</f>
        <v>0</v>
      </c>
      <c r="C5" s="30"/>
      <c r="D5" s="27" t="str">
        <f>Отделы!D2</f>
        <v>Служба диагностики и ТК</v>
      </c>
      <c r="E5" s="27">
        <f>Отделы!F2</f>
        <v>0</v>
      </c>
      <c r="F5" s="30"/>
    </row>
    <row r="6" spans="1:6" ht="18.75" customHeight="1" x14ac:dyDescent="0.25">
      <c r="A6" s="27" t="str">
        <f>Отделы!A6</f>
        <v>Служба наладки</v>
      </c>
      <c r="B6" s="27" t="str">
        <f>Отделы!G6</f>
        <v>1zj7IvdFuBzUioCBOqrjplfoUYJvJ3AO4neXte9I1MiI</v>
      </c>
      <c r="C6" s="30"/>
      <c r="D6" s="27" t="str">
        <f>Отделы!D6</f>
        <v>Служба наладки</v>
      </c>
      <c r="E6" s="27" t="str">
        <f>Отделы!F6</f>
        <v>1awxmEfkXK5UrHrIC0wLF4LzAVfPhZy_L</v>
      </c>
      <c r="F6" s="30"/>
    </row>
    <row r="7" spans="1:6" ht="18.75" customHeight="1" x14ac:dyDescent="0.25">
      <c r="A7" s="27" t="str">
        <f>Отделы!A7</f>
        <v>Служба РП</v>
      </c>
      <c r="B7" s="27" t="str">
        <f>Отделы!G7</f>
        <v>1S66RD_mjFyWUMjwL8G4cjwKQQCJYG8EXheQblGhmL0c</v>
      </c>
      <c r="C7" s="30"/>
      <c r="D7" s="27" t="str">
        <f>Отделы!D7</f>
        <v>Служба РП</v>
      </c>
      <c r="E7" s="27" t="str">
        <f>Отделы!F7</f>
        <v>1Y7RjlxP8qE74l4mnuO8arN3_0vGXuLcy</v>
      </c>
      <c r="F7" s="30"/>
    </row>
    <row r="8" spans="1:6" ht="18.75" customHeight="1" x14ac:dyDescent="0.25">
      <c r="A8" s="27" t="str">
        <f>Отделы!A8</f>
        <v>Уч. ремонта и ТО КИПиА и АСУТП (НК)</v>
      </c>
      <c r="B8" s="27">
        <f>Отделы!G8</f>
        <v>0</v>
      </c>
      <c r="C8" s="30"/>
      <c r="D8" s="27" t="str">
        <f>Отделы!D8</f>
        <v>Уч. ремонта и ТО КИПиА и АСУТП (НК)</v>
      </c>
      <c r="E8" s="27">
        <f>Отделы!F8</f>
        <v>0</v>
      </c>
      <c r="F8" s="30"/>
    </row>
    <row r="9" spans="1:6" ht="18.75" customHeight="1" x14ac:dyDescent="0.25">
      <c r="A9" s="27" t="str">
        <f>Отделы!A9</f>
        <v>ОЗиМТО</v>
      </c>
      <c r="B9" s="27" t="str">
        <f>Отделы!G9</f>
        <v>1z9jMqVzajRHj2rVuvOZHd5-9-IYRsNHgESil0kI-oKU</v>
      </c>
      <c r="C9" s="30"/>
      <c r="D9" s="27" t="str">
        <f>Отделы!D9</f>
        <v>ОЗиМТО</v>
      </c>
      <c r="E9" s="27" t="str">
        <f>Отделы!F9</f>
        <v>1nSyMuQ_xSRtCwiZ9_o95FCKTB8MeA4WG</v>
      </c>
      <c r="F9" s="30"/>
    </row>
    <row r="10" spans="1:6" ht="18.75" customHeight="1" x14ac:dyDescent="0.25">
      <c r="A10" s="27" t="str">
        <f>Отделы!A10</f>
        <v>Тендерный отдел</v>
      </c>
      <c r="B10" s="27" t="str">
        <f>Отделы!G10</f>
        <v>1BA26_oJBh1709PURrvGmugP52Qc_Eo-cizHpNbpTcZw</v>
      </c>
      <c r="C10" s="30"/>
      <c r="D10" s="27" t="str">
        <f>Отделы!D10</f>
        <v>Тендерный отдел</v>
      </c>
      <c r="E10" s="27" t="str">
        <f>Отделы!F10</f>
        <v>14BCGkDMMbXGpF28Hg5wtQSge9CFHzskr</v>
      </c>
      <c r="F10" s="30"/>
    </row>
    <row r="11" spans="1:6" ht="18.75" customHeight="1" x14ac:dyDescent="0.25">
      <c r="A11" s="27" t="str">
        <f>Отделы!A3</f>
        <v>Служба ПО</v>
      </c>
      <c r="B11" s="27" t="str">
        <f>Отделы!G3</f>
        <v>1NPV4vMc3xDjFtXACkapoGWqiBjhDXEct82fG-Dv6I2w</v>
      </c>
      <c r="C11" s="30"/>
      <c r="D11" s="27" t="str">
        <f>Отделы!D3</f>
        <v>Служба ПО</v>
      </c>
      <c r="E11" s="27" t="str">
        <f>Отделы!F3</f>
        <v>1fDwv_PDcKMkkQiu2YSrKu1rhuAmZOREY</v>
      </c>
      <c r="F11" s="30"/>
    </row>
    <row r="12" spans="1:6" ht="18.75" customHeight="1" x14ac:dyDescent="0.25">
      <c r="A12" s="27" t="str">
        <f>Отделы!A11</f>
        <v>Служба ГС</v>
      </c>
      <c r="B12" s="27" t="str">
        <f>Отделы!G11</f>
        <v>1NC52laa27RT1FV9X85ptvJQXDtpygoFgl_KZXYjXi44</v>
      </c>
      <c r="C12" s="30"/>
      <c r="D12" s="27" t="str">
        <f>Отделы!D11</f>
        <v>Служба ГС</v>
      </c>
      <c r="E12" s="27" t="str">
        <f>Отделы!F11</f>
        <v>1VXCAo2hjyftpafQg2vqICQwmfM4LEQnL</v>
      </c>
      <c r="F12" s="30"/>
    </row>
    <row r="13" spans="1:6" ht="18.75" customHeight="1" x14ac:dyDescent="0.25">
      <c r="A13" s="27" t="str">
        <f>Отделы!A12</f>
        <v>Бухгалтерия</v>
      </c>
      <c r="B13" s="27">
        <f>Отделы!G12</f>
        <v>0</v>
      </c>
      <c r="C13" s="30"/>
      <c r="D13" s="27" t="str">
        <f>Отделы!D12</f>
        <v>Бухгалтерия</v>
      </c>
      <c r="E13" s="27">
        <f>Отделы!F12</f>
        <v>0</v>
      </c>
      <c r="F13" s="30"/>
    </row>
    <row r="14" spans="1:6" ht="18.75" customHeight="1" x14ac:dyDescent="0.25">
      <c r="A14" s="27" t="str">
        <f>Отделы!A13</f>
        <v>Управление</v>
      </c>
      <c r="B14" s="27" t="str">
        <f>Отделы!G13</f>
        <v>1kdFOZj2_NLske9sPP72olmLx-TxG4_X5NRZRQRWVj04</v>
      </c>
      <c r="C14" s="30"/>
      <c r="D14" s="27" t="str">
        <f>Отделы!D13</f>
        <v>Управление</v>
      </c>
      <c r="E14" s="27" t="str">
        <f>Отделы!F13</f>
        <v>1LdcVo7at0VQVE40Y7eI54USH0kYKzWVs</v>
      </c>
      <c r="F14" s="30"/>
    </row>
    <row r="15" spans="1:6" ht="18.75" customHeight="1" x14ac:dyDescent="0.25">
      <c r="A15" s="27" t="str">
        <f>Отделы!A14</f>
        <v>ЭТД</v>
      </c>
      <c r="B15" s="27">
        <f>Отделы!G14</f>
        <v>0</v>
      </c>
      <c r="C15" s="30"/>
      <c r="D15" s="27" t="str">
        <f>Отделы!D14</f>
        <v>ЭТД</v>
      </c>
      <c r="E15" s="27">
        <f>Отделы!F14</f>
        <v>0</v>
      </c>
      <c r="F15" s="30"/>
    </row>
    <row r="16" spans="1:6" ht="18.75" customHeight="1" x14ac:dyDescent="0.25">
      <c r="A16" s="27" t="str">
        <f>Отделы!A15</f>
        <v>Отдел поддержки ПО</v>
      </c>
      <c r="B16" s="27">
        <f>Отделы!G15</f>
        <v>0</v>
      </c>
      <c r="C16" s="30"/>
      <c r="D16" s="27" t="str">
        <f>Отделы!D15</f>
        <v>Отдел поддержки ПО</v>
      </c>
      <c r="E16" s="27">
        <f>Отделы!F15</f>
        <v>0</v>
      </c>
      <c r="F16" s="31"/>
    </row>
    <row r="17" spans="1:6" ht="18.75" customHeight="1" x14ac:dyDescent="0.25">
      <c r="A17" s="27" t="str">
        <f>Отделы!A16</f>
        <v>Отдел подготовки ТД</v>
      </c>
      <c r="B17" s="27" t="str">
        <f>Отделы!G16</f>
        <v>1grjMbJiqfSQbQtFhjQz7810l4e-pD0UaVca0r0AczfE</v>
      </c>
      <c r="C17" s="30"/>
      <c r="D17" s="27" t="str">
        <f>Отделы!D16</f>
        <v>Отдел подготовки ТД</v>
      </c>
      <c r="E17" s="27" t="str">
        <f>Отделы!F16</f>
        <v>1D0_Vzn1V_pjaTyvRIeC6IRZZD1r-pWJe</v>
      </c>
      <c r="F17" s="30"/>
    </row>
    <row r="18" spans="1:6" ht="18.75" customHeight="1" x14ac:dyDescent="0.25">
      <c r="A18" s="27" t="str">
        <f>Отделы!A17</f>
        <v>Договорной отдел</v>
      </c>
      <c r="B18" s="27">
        <f>Отделы!G17</f>
        <v>0</v>
      </c>
      <c r="C18" s="30"/>
      <c r="D18" s="27" t="str">
        <f>Отделы!D17</f>
        <v>Договорной отдел</v>
      </c>
      <c r="E18" s="27">
        <f>Отделы!F17</f>
        <v>0</v>
      </c>
      <c r="F18" s="32"/>
    </row>
    <row r="19" spans="1:6" ht="18.75" customHeight="1" x14ac:dyDescent="0.25">
      <c r="A19" s="27" t="str">
        <f>Отделы!A18</f>
        <v>Отдел кадров</v>
      </c>
      <c r="B19" s="27">
        <f>Отделы!G18</f>
        <v>0</v>
      </c>
      <c r="C19" s="30"/>
      <c r="D19" s="27" t="str">
        <f>Отделы!D18</f>
        <v>Отдел кадров</v>
      </c>
      <c r="E19" s="27">
        <f>Отделы!F18</f>
        <v>0</v>
      </c>
      <c r="F19" s="30"/>
    </row>
    <row r="20" spans="1:6" ht="18.75" customHeight="1" x14ac:dyDescent="0.25">
      <c r="A20" s="27" t="str">
        <f>Отделы!A19</f>
        <v>Служба СО АСУТП</v>
      </c>
      <c r="B20" s="27">
        <f>Отделы!G19</f>
        <v>0</v>
      </c>
      <c r="C20" s="30"/>
      <c r="D20" s="27" t="str">
        <f>Отделы!D19</f>
        <v>Служба СО АСУТП</v>
      </c>
      <c r="E20" s="27">
        <f>Отделы!F19</f>
        <v>0</v>
      </c>
      <c r="F20" s="30"/>
    </row>
    <row r="21" spans="1:6" ht="18.75" customHeight="1" x14ac:dyDescent="0.25">
      <c r="A21" s="27" t="str">
        <f>Отделы!A20</f>
        <v>Отдел ОТ и ТБ</v>
      </c>
      <c r="B21" s="27">
        <f>Отделы!G20</f>
        <v>0</v>
      </c>
      <c r="C21" s="30"/>
      <c r="D21" s="27" t="str">
        <f>Отделы!D20</f>
        <v>Отдел ОТ и ТБ</v>
      </c>
      <c r="E21" s="27">
        <f>Отделы!F20</f>
        <v>0</v>
      </c>
      <c r="F21" s="30"/>
    </row>
    <row r="22" spans="1:6" ht="18.75" customHeight="1" x14ac:dyDescent="0.25">
      <c r="A22" s="27" t="str">
        <f>Отделы!A21</f>
        <v>Отдел ДО</v>
      </c>
      <c r="B22" s="27">
        <f>Отделы!G21</f>
        <v>0</v>
      </c>
      <c r="C22" s="30"/>
      <c r="D22" s="27" t="str">
        <f>Отделы!D21</f>
        <v>Отдел ДО</v>
      </c>
      <c r="E22" s="27">
        <f>Отделы!F21</f>
        <v>0</v>
      </c>
      <c r="F22" s="30"/>
    </row>
    <row r="23" spans="1:6" ht="18.75" customHeight="1" x14ac:dyDescent="0.25">
      <c r="A23" s="27" t="str">
        <f>Отделы!A22</f>
        <v>Отдел ИТ</v>
      </c>
      <c r="B23" s="27">
        <f>Отделы!G22</f>
        <v>0</v>
      </c>
      <c r="C23" s="30"/>
      <c r="D23" s="27" t="str">
        <f>Отделы!D22</f>
        <v>Отдел ИТ</v>
      </c>
      <c r="E23" s="27">
        <f>Отделы!F22</f>
        <v>0</v>
      </c>
      <c r="F23" s="30"/>
    </row>
    <row r="24" spans="1:6" ht="18.75" customHeight="1" x14ac:dyDescent="0.25">
      <c r="A24" s="33" t="s">
        <v>760</v>
      </c>
      <c r="B24" s="15" t="s">
        <v>761</v>
      </c>
      <c r="C24" s="30"/>
      <c r="D24" s="34" t="s">
        <v>760</v>
      </c>
      <c r="E24" s="35" t="s">
        <v>762</v>
      </c>
      <c r="F24" s="30"/>
    </row>
    <row r="25" spans="1:6" ht="18.75" customHeight="1" x14ac:dyDescent="0.25">
      <c r="A25" s="33" t="s">
        <v>0</v>
      </c>
      <c r="B25" s="15" t="s">
        <v>763</v>
      </c>
      <c r="C25" s="30"/>
      <c r="D25" s="34" t="s">
        <v>764</v>
      </c>
      <c r="E25" s="35" t="s">
        <v>765</v>
      </c>
      <c r="F25" s="30"/>
    </row>
    <row r="26" spans="1:6" ht="18.75" customHeight="1" x14ac:dyDescent="0.25">
      <c r="A26" s="33" t="s">
        <v>766</v>
      </c>
      <c r="B26" s="15" t="s">
        <v>767</v>
      </c>
      <c r="C26" s="30"/>
      <c r="D26" s="34" t="s">
        <v>768</v>
      </c>
      <c r="E26" s="35" t="s">
        <v>769</v>
      </c>
      <c r="F26" s="30"/>
    </row>
    <row r="27" spans="1:6" ht="18.75" customHeight="1" x14ac:dyDescent="0.25">
      <c r="A27" s="33" t="s">
        <v>770</v>
      </c>
      <c r="B27" s="15" t="s">
        <v>771</v>
      </c>
      <c r="C27" s="30"/>
      <c r="D27" s="34" t="s">
        <v>772</v>
      </c>
      <c r="E27" s="35" t="s">
        <v>773</v>
      </c>
      <c r="F27" s="30"/>
    </row>
    <row r="28" spans="1:6" ht="18.75" customHeight="1" x14ac:dyDescent="0.25">
      <c r="A28" s="33" t="s">
        <v>774</v>
      </c>
      <c r="B28" s="15" t="s">
        <v>775</v>
      </c>
      <c r="C28" s="30"/>
      <c r="D28" s="34" t="s">
        <v>776</v>
      </c>
      <c r="E28" s="35" t="s">
        <v>777</v>
      </c>
      <c r="F28" s="30"/>
    </row>
    <row r="29" spans="1:6" ht="18.75" customHeight="1" x14ac:dyDescent="0.25">
      <c r="A29" s="33" t="s">
        <v>778</v>
      </c>
      <c r="B29" s="15" t="s">
        <v>779</v>
      </c>
      <c r="C29" s="30"/>
      <c r="D29" s="34" t="s">
        <v>780</v>
      </c>
      <c r="E29" s="35" t="s">
        <v>781</v>
      </c>
      <c r="F29" s="30"/>
    </row>
    <row r="30" spans="1:6" ht="18.75" customHeight="1" x14ac:dyDescent="0.25">
      <c r="A30" s="33" t="s">
        <v>782</v>
      </c>
      <c r="B30" s="15" t="s">
        <v>783</v>
      </c>
      <c r="C30" s="30"/>
      <c r="D30" s="33" t="s">
        <v>784</v>
      </c>
      <c r="E30" s="15" t="s">
        <v>785</v>
      </c>
      <c r="F30" s="30"/>
    </row>
    <row r="31" spans="1:6" ht="18.75" customHeight="1" x14ac:dyDescent="0.25">
      <c r="A31" s="33" t="s">
        <v>786</v>
      </c>
      <c r="B31" s="15" t="s">
        <v>787</v>
      </c>
      <c r="C31" s="30"/>
      <c r="D31" s="33" t="s">
        <v>788</v>
      </c>
      <c r="E31" s="35" t="s">
        <v>789</v>
      </c>
      <c r="F31" s="30"/>
    </row>
    <row r="32" spans="1:6" ht="18.75" customHeight="1" x14ac:dyDescent="0.25">
      <c r="A32" s="33" t="s">
        <v>790</v>
      </c>
      <c r="B32" s="15" t="s">
        <v>791</v>
      </c>
      <c r="C32" s="30"/>
      <c r="D32" s="33" t="s">
        <v>792</v>
      </c>
      <c r="E32" s="15" t="s">
        <v>793</v>
      </c>
      <c r="F32" s="30"/>
    </row>
    <row r="33" spans="1:6" ht="18.75" customHeight="1" x14ac:dyDescent="0.25">
      <c r="A33" s="33" t="s">
        <v>794</v>
      </c>
      <c r="B33" s="15" t="s">
        <v>795</v>
      </c>
      <c r="C33" s="30"/>
      <c r="D33" s="33" t="s">
        <v>796</v>
      </c>
      <c r="E33" s="15" t="s">
        <v>797</v>
      </c>
      <c r="F33" s="30"/>
    </row>
    <row r="34" spans="1:6" ht="18.75" customHeight="1" x14ac:dyDescent="0.25">
      <c r="A34" s="33" t="s">
        <v>798</v>
      </c>
      <c r="B34" s="15" t="s">
        <v>799</v>
      </c>
      <c r="C34" s="30"/>
      <c r="D34" s="25" t="s">
        <v>800</v>
      </c>
      <c r="E34" s="25" t="s">
        <v>801</v>
      </c>
      <c r="F34" s="30"/>
    </row>
    <row r="35" spans="1:6" ht="18.75" customHeight="1" x14ac:dyDescent="0.25">
      <c r="A35" s="33" t="s">
        <v>802</v>
      </c>
      <c r="B35" s="15" t="s">
        <v>803</v>
      </c>
      <c r="C35" s="30"/>
      <c r="D35" s="25" t="s">
        <v>804</v>
      </c>
      <c r="E35" s="25" t="s">
        <v>805</v>
      </c>
      <c r="F35" s="30"/>
    </row>
    <row r="36" spans="1:6" ht="18.75" customHeight="1" x14ac:dyDescent="0.25">
      <c r="A36" s="33" t="s">
        <v>806</v>
      </c>
      <c r="B36" s="15" t="s">
        <v>807</v>
      </c>
      <c r="C36" s="30"/>
      <c r="D36" s="25" t="s">
        <v>808</v>
      </c>
      <c r="E36" s="25" t="s">
        <v>809</v>
      </c>
      <c r="F36" s="30"/>
    </row>
    <row r="37" spans="1:6" ht="18.75" customHeight="1" x14ac:dyDescent="0.25">
      <c r="A37" s="33" t="s">
        <v>810</v>
      </c>
      <c r="B37" s="15" t="s">
        <v>811</v>
      </c>
      <c r="C37" s="30"/>
      <c r="D37" s="25" t="s">
        <v>697</v>
      </c>
      <c r="E37" s="25" t="s">
        <v>748</v>
      </c>
      <c r="F37" s="30"/>
    </row>
    <row r="38" spans="1:6" ht="18.75" customHeight="1" x14ac:dyDescent="0.25">
      <c r="A38" s="33" t="s">
        <v>812</v>
      </c>
      <c r="B38" s="15" t="s">
        <v>813</v>
      </c>
      <c r="C38" s="30"/>
      <c r="D38" s="25" t="s">
        <v>683</v>
      </c>
      <c r="E38" s="25" t="s">
        <v>750</v>
      </c>
      <c r="F38" s="30"/>
    </row>
    <row r="39" spans="1:6" ht="18.75" customHeight="1" x14ac:dyDescent="0.25">
      <c r="A39" s="33" t="s">
        <v>790</v>
      </c>
      <c r="B39" s="15" t="s">
        <v>791</v>
      </c>
      <c r="C39" s="30"/>
      <c r="D39" s="27"/>
      <c r="E39" s="27"/>
      <c r="F39" s="30"/>
    </row>
    <row r="40" spans="1:6" ht="18.75" customHeight="1" x14ac:dyDescent="0.25">
      <c r="A40" s="33" t="s">
        <v>794</v>
      </c>
      <c r="B40" s="15" t="s">
        <v>795</v>
      </c>
      <c r="C40" s="30"/>
      <c r="D40" s="27"/>
      <c r="E40" s="27"/>
      <c r="F40" s="30"/>
    </row>
    <row r="41" spans="1:6" ht="18.75" customHeight="1" x14ac:dyDescent="0.25">
      <c r="A41" s="33" t="s">
        <v>798</v>
      </c>
      <c r="B41" s="15" t="s">
        <v>799</v>
      </c>
      <c r="C41" s="30"/>
      <c r="D41" s="27"/>
      <c r="E41" s="27"/>
      <c r="F41" s="30"/>
    </row>
    <row r="42" spans="1:6" ht="18.75" customHeight="1" x14ac:dyDescent="0.25">
      <c r="A42" s="33" t="s">
        <v>814</v>
      </c>
      <c r="B42" s="15" t="s">
        <v>815</v>
      </c>
      <c r="C42" s="30"/>
      <c r="D42" s="36"/>
      <c r="E42" s="12"/>
      <c r="F42" s="30"/>
    </row>
    <row r="43" spans="1:6" ht="18.75" customHeight="1" x14ac:dyDescent="0.25">
      <c r="A43" s="25" t="s">
        <v>816</v>
      </c>
      <c r="B43" s="25" t="s">
        <v>817</v>
      </c>
      <c r="C43" s="30"/>
      <c r="D43" s="36"/>
      <c r="E43" s="12"/>
      <c r="F43" s="30"/>
    </row>
    <row r="44" spans="1:6" ht="18.75" customHeight="1" x14ac:dyDescent="0.25">
      <c r="A44" s="25" t="s">
        <v>818</v>
      </c>
      <c r="B44" s="25" t="s">
        <v>819</v>
      </c>
      <c r="C44" s="30"/>
      <c r="D44" s="36"/>
      <c r="E44" s="12"/>
      <c r="F44" s="30"/>
    </row>
    <row r="45" spans="1:6" ht="18.75" customHeight="1" x14ac:dyDescent="0.25">
      <c r="A45" s="25" t="s">
        <v>820</v>
      </c>
      <c r="B45" s="25" t="s">
        <v>821</v>
      </c>
      <c r="C45" s="30"/>
      <c r="D45" s="36"/>
      <c r="E45" s="12"/>
      <c r="F45" s="30"/>
    </row>
    <row r="46" spans="1:6" ht="18.75" customHeight="1" x14ac:dyDescent="0.25">
      <c r="A46" s="37" t="s">
        <v>822</v>
      </c>
      <c r="B46" s="25" t="s">
        <v>823</v>
      </c>
      <c r="C46" s="30"/>
      <c r="D46" s="36"/>
      <c r="E46" s="12"/>
      <c r="F46" s="30"/>
    </row>
    <row r="47" spans="1:6" ht="18.75" customHeight="1" x14ac:dyDescent="0.25">
      <c r="A47" s="25" t="s">
        <v>824</v>
      </c>
      <c r="B47" s="25" t="s">
        <v>825</v>
      </c>
      <c r="C47" s="30"/>
      <c r="D47" s="36"/>
      <c r="E47" s="12"/>
      <c r="F47" s="30"/>
    </row>
    <row r="48" spans="1:6" ht="18.75" customHeight="1" x14ac:dyDescent="0.25">
      <c r="A48" s="33" t="s">
        <v>826</v>
      </c>
      <c r="B48" s="15" t="s">
        <v>827</v>
      </c>
      <c r="C48" s="30"/>
      <c r="D48" s="36"/>
      <c r="E48" s="12"/>
      <c r="F48" s="30"/>
    </row>
    <row r="49" spans="1:6" ht="18.75" customHeight="1" x14ac:dyDescent="0.25">
      <c r="A49" s="25" t="s">
        <v>697</v>
      </c>
      <c r="B49" s="25" t="s">
        <v>828</v>
      </c>
      <c r="C49" s="30"/>
      <c r="D49" s="36"/>
      <c r="E49" s="12"/>
      <c r="F49" s="30"/>
    </row>
    <row r="50" spans="1:6" ht="18.75" customHeight="1" x14ac:dyDescent="0.25">
      <c r="A50" s="33" t="s">
        <v>829</v>
      </c>
      <c r="B50" s="25" t="s">
        <v>830</v>
      </c>
      <c r="C50" s="30"/>
      <c r="D50" s="36"/>
      <c r="E50" s="12"/>
      <c r="F50" s="30"/>
    </row>
    <row r="51" spans="1:6" ht="18.75" customHeight="1" x14ac:dyDescent="0.25">
      <c r="A51" s="33" t="s">
        <v>831</v>
      </c>
      <c r="B51" s="25" t="s">
        <v>832</v>
      </c>
      <c r="C51" s="30"/>
      <c r="D51" s="36"/>
      <c r="E51" s="12"/>
      <c r="F51" s="30"/>
    </row>
    <row r="52" spans="1:6" ht="18.75" customHeight="1" x14ac:dyDescent="0.25">
      <c r="A52" s="33" t="s">
        <v>833</v>
      </c>
      <c r="B52" s="25" t="s">
        <v>834</v>
      </c>
      <c r="C52" s="30"/>
      <c r="D52" s="36"/>
      <c r="E52" s="12"/>
      <c r="F52" s="30"/>
    </row>
    <row r="53" spans="1:6" ht="18.75" customHeight="1" x14ac:dyDescent="0.25">
      <c r="A53" s="33" t="s">
        <v>835</v>
      </c>
      <c r="B53" s="25" t="s">
        <v>836</v>
      </c>
      <c r="C53" s="30"/>
      <c r="D53" s="36"/>
      <c r="E53" s="12"/>
      <c r="F53" s="30"/>
    </row>
    <row r="54" spans="1:6" ht="18.75" customHeight="1" x14ac:dyDescent="0.25">
      <c r="A54" s="33" t="s">
        <v>837</v>
      </c>
      <c r="B54" s="25" t="s">
        <v>838</v>
      </c>
      <c r="C54" s="30"/>
      <c r="D54" s="38"/>
      <c r="E54" s="30"/>
      <c r="F54" s="30"/>
    </row>
    <row r="55" spans="1:6" ht="18.75" customHeight="1" x14ac:dyDescent="0.25">
      <c r="A55" s="33" t="s">
        <v>839</v>
      </c>
      <c r="B55" s="25" t="s">
        <v>840</v>
      </c>
      <c r="C55" s="30"/>
      <c r="D55" s="38"/>
      <c r="E55" s="30"/>
      <c r="F55" s="30"/>
    </row>
    <row r="56" spans="1:6" ht="18.75" customHeight="1" x14ac:dyDescent="0.25">
      <c r="A56" s="25" t="s">
        <v>841</v>
      </c>
      <c r="B56" s="25" t="s">
        <v>842</v>
      </c>
      <c r="C56" s="30"/>
      <c r="D56" s="38"/>
      <c r="E56" s="30"/>
      <c r="F56" s="30"/>
    </row>
    <row r="57" spans="1:6" ht="18.75" customHeight="1" x14ac:dyDescent="0.25">
      <c r="A57" s="25" t="s">
        <v>843</v>
      </c>
      <c r="B57" s="25" t="s">
        <v>844</v>
      </c>
      <c r="C57" s="30"/>
      <c r="D57" s="38"/>
      <c r="E57" s="30"/>
      <c r="F57" s="30"/>
    </row>
    <row r="58" spans="1:6" ht="18.75" customHeight="1" x14ac:dyDescent="0.25">
      <c r="A58" s="37" t="s">
        <v>845</v>
      </c>
      <c r="B58" s="25" t="s">
        <v>846</v>
      </c>
      <c r="C58" s="30"/>
      <c r="D58" s="38"/>
      <c r="E58" s="30"/>
      <c r="F58" s="30"/>
    </row>
    <row r="59" spans="1:6" ht="18.75" customHeight="1" x14ac:dyDescent="0.25">
      <c r="A59" s="25" t="s">
        <v>847</v>
      </c>
      <c r="B59" s="25" t="s">
        <v>848</v>
      </c>
      <c r="C59" s="30"/>
      <c r="D59" s="38"/>
      <c r="E59" s="30"/>
      <c r="F59" s="30"/>
    </row>
    <row r="60" spans="1:6" ht="18.75" customHeight="1" x14ac:dyDescent="0.25">
      <c r="A60" s="33" t="s">
        <v>849</v>
      </c>
      <c r="B60" s="25" t="s">
        <v>850</v>
      </c>
      <c r="C60" s="30"/>
      <c r="D60" s="38"/>
      <c r="E60" s="30"/>
      <c r="F60" s="30"/>
    </row>
    <row r="61" spans="1:6" ht="18.75" customHeight="1" x14ac:dyDescent="0.25">
      <c r="A61" s="33" t="s">
        <v>851</v>
      </c>
      <c r="B61" s="25" t="s">
        <v>852</v>
      </c>
      <c r="C61" s="30"/>
      <c r="D61" s="38"/>
      <c r="E61" s="30"/>
      <c r="F61" s="30"/>
    </row>
    <row r="62" spans="1:6" ht="18.75" customHeight="1" x14ac:dyDescent="0.25">
      <c r="A62" s="33" t="s">
        <v>853</v>
      </c>
      <c r="B62" s="25" t="s">
        <v>854</v>
      </c>
      <c r="C62" s="30"/>
      <c r="D62" s="38"/>
      <c r="E62" s="30"/>
      <c r="F62" s="30"/>
    </row>
    <row r="63" spans="1:6" ht="18.75" customHeight="1" x14ac:dyDescent="0.25">
      <c r="A63" s="33" t="s">
        <v>855</v>
      </c>
      <c r="B63" s="25" t="s">
        <v>856</v>
      </c>
      <c r="C63" s="30"/>
      <c r="D63" s="38"/>
      <c r="E63" s="30"/>
      <c r="F63" s="30"/>
    </row>
    <row r="64" spans="1:6" ht="18.75" customHeight="1" x14ac:dyDescent="0.25">
      <c r="A64" s="33" t="s">
        <v>857</v>
      </c>
      <c r="B64" s="15" t="s">
        <v>858</v>
      </c>
      <c r="C64" s="30"/>
      <c r="D64" s="38"/>
      <c r="E64" s="30"/>
      <c r="F64" s="30"/>
    </row>
    <row r="65" spans="1:6" ht="18.75" customHeight="1" x14ac:dyDescent="0.25">
      <c r="A65" s="33" t="s">
        <v>683</v>
      </c>
      <c r="B65" s="15" t="s">
        <v>859</v>
      </c>
      <c r="C65" s="30"/>
      <c r="D65" s="38"/>
      <c r="E65" s="30"/>
      <c r="F65" s="30"/>
    </row>
    <row r="66" spans="1:6" ht="18.75" customHeight="1" x14ac:dyDescent="0.25">
      <c r="A66" s="33" t="s">
        <v>860</v>
      </c>
      <c r="B66" s="15" t="s">
        <v>861</v>
      </c>
      <c r="C66" s="30"/>
      <c r="D66" s="38"/>
      <c r="E66" s="30"/>
      <c r="F66" s="30"/>
    </row>
    <row r="67" spans="1:6" ht="18.75" customHeight="1" x14ac:dyDescent="0.25">
      <c r="A67" s="33" t="s">
        <v>862</v>
      </c>
      <c r="B67" s="15" t="s">
        <v>863</v>
      </c>
      <c r="C67" s="30"/>
      <c r="D67" s="38"/>
      <c r="E67" s="30"/>
      <c r="F67" s="30"/>
    </row>
    <row r="68" spans="1:6" ht="18.75" customHeight="1" x14ac:dyDescent="0.25">
      <c r="A68" s="33" t="s">
        <v>864</v>
      </c>
      <c r="B68" s="15" t="s">
        <v>865</v>
      </c>
      <c r="C68" s="30"/>
      <c r="D68" s="38"/>
      <c r="E68" s="30"/>
      <c r="F68" s="30"/>
    </row>
    <row r="69" spans="1:6" ht="18.75" customHeight="1" x14ac:dyDescent="0.25">
      <c r="A69" s="33" t="s">
        <v>866</v>
      </c>
      <c r="B69" s="15" t="s">
        <v>867</v>
      </c>
      <c r="C69" s="30"/>
      <c r="D69" s="38"/>
      <c r="E69" s="30"/>
      <c r="F69" s="30"/>
    </row>
    <row r="70" spans="1:6" ht="18.75" customHeight="1" x14ac:dyDescent="0.25">
      <c r="A70" s="33" t="s">
        <v>868</v>
      </c>
      <c r="B70" s="15" t="s">
        <v>869</v>
      </c>
      <c r="C70" s="30"/>
      <c r="D70" s="38"/>
      <c r="E70" s="30"/>
      <c r="F70" s="30"/>
    </row>
    <row r="71" spans="1:6" ht="18.75" customHeight="1" x14ac:dyDescent="0.25">
      <c r="A71" s="33" t="s">
        <v>870</v>
      </c>
      <c r="B71" s="15" t="s">
        <v>871</v>
      </c>
      <c r="C71" s="30"/>
      <c r="D71" s="38"/>
      <c r="E71" s="30"/>
      <c r="F71" s="30"/>
    </row>
    <row r="72" spans="1:6" ht="18.75" customHeight="1" x14ac:dyDescent="0.25">
      <c r="A72" s="33" t="s">
        <v>872</v>
      </c>
      <c r="B72" s="15" t="s">
        <v>873</v>
      </c>
      <c r="C72" s="30"/>
      <c r="D72" s="38"/>
      <c r="E72" s="30"/>
      <c r="F72" s="30"/>
    </row>
    <row r="73" spans="1:6" ht="18.75" customHeight="1" x14ac:dyDescent="0.25">
      <c r="A73" s="33" t="s">
        <v>874</v>
      </c>
      <c r="B73" s="15" t="s">
        <v>875</v>
      </c>
      <c r="C73" s="30"/>
      <c r="D73" s="38"/>
      <c r="E73" s="30"/>
      <c r="F73" s="30"/>
    </row>
    <row r="74" spans="1:6" ht="18.75" customHeight="1" x14ac:dyDescent="0.25">
      <c r="A74" s="33" t="s">
        <v>876</v>
      </c>
      <c r="B74" s="15" t="s">
        <v>877</v>
      </c>
      <c r="C74" s="30"/>
      <c r="D74" s="38"/>
      <c r="E74" s="30"/>
      <c r="F74" s="30"/>
    </row>
    <row r="75" spans="1:6" ht="18.75" customHeight="1" x14ac:dyDescent="0.25">
      <c r="A75" s="33" t="s">
        <v>878</v>
      </c>
      <c r="B75" s="15" t="s">
        <v>879</v>
      </c>
      <c r="C75" s="30"/>
      <c r="D75" s="38"/>
      <c r="E75" s="30"/>
      <c r="F75" s="30"/>
    </row>
    <row r="76" spans="1:6" ht="18.75" customHeight="1" x14ac:dyDescent="0.25">
      <c r="A76" s="33" t="s">
        <v>880</v>
      </c>
      <c r="B76" s="15" t="s">
        <v>881</v>
      </c>
      <c r="C76" s="30"/>
      <c r="D76" s="38"/>
      <c r="E76" s="30"/>
      <c r="F76" s="30"/>
    </row>
    <row r="77" spans="1:6" ht="18.75" customHeight="1" x14ac:dyDescent="0.25">
      <c r="A77" s="33" t="s">
        <v>882</v>
      </c>
      <c r="B77" s="15" t="s">
        <v>883</v>
      </c>
      <c r="C77" s="30"/>
      <c r="D77" s="38"/>
      <c r="E77" s="30"/>
      <c r="F77" s="30"/>
    </row>
    <row r="78" spans="1:6" ht="18.75" customHeight="1" x14ac:dyDescent="0.25">
      <c r="A78" s="33" t="s">
        <v>884</v>
      </c>
      <c r="B78" s="15" t="s">
        <v>885</v>
      </c>
      <c r="C78" s="30"/>
      <c r="D78" s="38"/>
      <c r="E78" s="30"/>
      <c r="F78" s="30"/>
    </row>
    <row r="79" spans="1:6" ht="18.75" customHeight="1" x14ac:dyDescent="0.25">
      <c r="A79" s="33" t="s">
        <v>886</v>
      </c>
      <c r="B79" s="15" t="s">
        <v>887</v>
      </c>
      <c r="C79" s="30"/>
      <c r="D79" s="38"/>
      <c r="E79" s="30"/>
      <c r="F79" s="30"/>
    </row>
    <row r="80" spans="1:6" ht="18.75" customHeight="1" x14ac:dyDescent="0.25">
      <c r="A80" s="33" t="s">
        <v>888</v>
      </c>
      <c r="B80" s="15" t="s">
        <v>889</v>
      </c>
      <c r="C80" s="30"/>
      <c r="D80" s="38"/>
      <c r="E80" s="30"/>
      <c r="F80" s="30"/>
    </row>
    <row r="81" spans="1:6" ht="18.75" customHeight="1" x14ac:dyDescent="0.25">
      <c r="A81" s="33" t="s">
        <v>890</v>
      </c>
      <c r="B81" s="15" t="s">
        <v>891</v>
      </c>
      <c r="C81" s="30"/>
      <c r="D81" s="38"/>
      <c r="E81" s="30"/>
      <c r="F81" s="30"/>
    </row>
    <row r="82" spans="1:6" ht="18.75" customHeight="1" x14ac:dyDescent="0.25">
      <c r="A82" s="33" t="s">
        <v>892</v>
      </c>
      <c r="B82" s="15" t="s">
        <v>893</v>
      </c>
      <c r="C82" s="30"/>
      <c r="D82" s="38"/>
      <c r="E82" s="30"/>
      <c r="F82" s="30"/>
    </row>
    <row r="83" spans="1:6" ht="18.75" customHeight="1" x14ac:dyDescent="0.25">
      <c r="A83" s="33" t="s">
        <v>894</v>
      </c>
      <c r="B83" s="15" t="s">
        <v>895</v>
      </c>
      <c r="C83" s="30"/>
      <c r="D83" s="38"/>
      <c r="E83" s="30"/>
      <c r="F83" s="30"/>
    </row>
    <row r="84" spans="1:6" ht="18.75" customHeight="1" x14ac:dyDescent="0.25">
      <c r="A84" s="33" t="s">
        <v>896</v>
      </c>
      <c r="B84" s="15" t="s">
        <v>897</v>
      </c>
      <c r="C84" s="30"/>
      <c r="D84" s="38"/>
      <c r="E84" s="30"/>
      <c r="F84" s="30"/>
    </row>
    <row r="85" spans="1:6" ht="18.75" customHeight="1" x14ac:dyDescent="0.25">
      <c r="A85" s="33" t="s">
        <v>898</v>
      </c>
      <c r="B85" s="15" t="s">
        <v>899</v>
      </c>
      <c r="C85" s="30"/>
      <c r="D85" s="38"/>
      <c r="E85" s="30"/>
      <c r="F85" s="30"/>
    </row>
    <row r="86" spans="1:6" ht="18.75" customHeight="1" x14ac:dyDescent="0.25">
      <c r="A86" s="33" t="s">
        <v>900</v>
      </c>
      <c r="B86" s="15" t="s">
        <v>901</v>
      </c>
      <c r="C86" s="30"/>
      <c r="D86" s="38"/>
      <c r="E86" s="30"/>
      <c r="F86" s="30"/>
    </row>
    <row r="87" spans="1:6" ht="18.75" customHeight="1" x14ac:dyDescent="0.25">
      <c r="A87" s="39" t="s">
        <v>902</v>
      </c>
      <c r="B87" s="31" t="s">
        <v>903</v>
      </c>
      <c r="C87" s="30"/>
      <c r="D87" s="38"/>
      <c r="E87" s="30"/>
      <c r="F87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3062"/>
  <sheetViews>
    <sheetView workbookViewId="0"/>
  </sheetViews>
  <sheetFormatPr defaultColWidth="12.6640625" defaultRowHeight="15.75" customHeight="1" x14ac:dyDescent="0.25"/>
  <cols>
    <col min="1" max="1" width="37.44140625" customWidth="1"/>
    <col min="2" max="2" width="23.77734375" customWidth="1"/>
    <col min="3" max="3" width="12.88671875" customWidth="1"/>
  </cols>
  <sheetData>
    <row r="1" spans="1:3" x14ac:dyDescent="0.25">
      <c r="A1" s="40" t="s">
        <v>904</v>
      </c>
      <c r="B1" s="40" t="s">
        <v>905</v>
      </c>
      <c r="C1" s="40" t="s">
        <v>906</v>
      </c>
    </row>
    <row r="2" spans="1:3" x14ac:dyDescent="0.25">
      <c r="A2" s="41" t="s">
        <v>907</v>
      </c>
      <c r="B2" s="41" t="s">
        <v>908</v>
      </c>
      <c r="C2" s="41" t="s">
        <v>909</v>
      </c>
    </row>
    <row r="3" spans="1:3" x14ac:dyDescent="0.25">
      <c r="A3" s="42" t="s">
        <v>910</v>
      </c>
      <c r="B3" s="43" t="s">
        <v>911</v>
      </c>
      <c r="C3" s="43">
        <v>1657203880</v>
      </c>
    </row>
    <row r="4" spans="1:3" x14ac:dyDescent="0.25">
      <c r="A4" s="42" t="s">
        <v>912</v>
      </c>
      <c r="B4" s="43" t="s">
        <v>912</v>
      </c>
      <c r="C4" s="43"/>
    </row>
    <row r="5" spans="1:3" x14ac:dyDescent="0.25">
      <c r="A5" s="42" t="s">
        <v>913</v>
      </c>
      <c r="B5" s="43" t="s">
        <v>913</v>
      </c>
      <c r="C5" s="44"/>
    </row>
    <row r="6" spans="1:3" x14ac:dyDescent="0.25">
      <c r="A6" s="42" t="s">
        <v>914</v>
      </c>
      <c r="B6" s="43" t="s">
        <v>914</v>
      </c>
      <c r="C6" s="44"/>
    </row>
    <row r="7" spans="1:3" x14ac:dyDescent="0.25">
      <c r="A7" s="42" t="s">
        <v>915</v>
      </c>
      <c r="B7" s="43" t="s">
        <v>916</v>
      </c>
      <c r="C7" s="44">
        <v>7730640648</v>
      </c>
    </row>
    <row r="8" spans="1:3" x14ac:dyDescent="0.25">
      <c r="A8" s="42" t="s">
        <v>917</v>
      </c>
      <c r="B8" s="43" t="s">
        <v>918</v>
      </c>
      <c r="C8" s="44">
        <v>7731262780</v>
      </c>
    </row>
    <row r="9" spans="1:3" x14ac:dyDescent="0.25">
      <c r="A9" s="42" t="s">
        <v>919</v>
      </c>
      <c r="B9" s="43" t="s">
        <v>920</v>
      </c>
      <c r="C9" s="44">
        <v>1657248190</v>
      </c>
    </row>
    <row r="10" spans="1:3" x14ac:dyDescent="0.25">
      <c r="A10" s="42" t="s">
        <v>921</v>
      </c>
      <c r="B10" s="43" t="s">
        <v>922</v>
      </c>
      <c r="C10" s="44">
        <v>2128006240</v>
      </c>
    </row>
    <row r="11" spans="1:3" x14ac:dyDescent="0.25">
      <c r="A11" s="42" t="s">
        <v>923</v>
      </c>
      <c r="B11" s="43" t="s">
        <v>924</v>
      </c>
      <c r="C11" s="44">
        <v>7736046991</v>
      </c>
    </row>
    <row r="12" spans="1:3" x14ac:dyDescent="0.25">
      <c r="A12" s="42" t="s">
        <v>925</v>
      </c>
      <c r="B12" s="43" t="s">
        <v>926</v>
      </c>
      <c r="C12" s="44">
        <v>7728178835</v>
      </c>
    </row>
    <row r="13" spans="1:3" x14ac:dyDescent="0.25">
      <c r="A13" s="42" t="s">
        <v>927</v>
      </c>
      <c r="B13" s="43" t="s">
        <v>928</v>
      </c>
      <c r="C13" s="44">
        <v>6658205551</v>
      </c>
    </row>
    <row r="14" spans="1:3" x14ac:dyDescent="0.25">
      <c r="A14" s="42" t="s">
        <v>929</v>
      </c>
      <c r="B14" s="43" t="s">
        <v>930</v>
      </c>
      <c r="C14" s="44">
        <v>6670350883</v>
      </c>
    </row>
    <row r="15" spans="1:3" x14ac:dyDescent="0.25">
      <c r="A15" s="42" t="s">
        <v>931</v>
      </c>
      <c r="B15" s="43" t="s">
        <v>932</v>
      </c>
      <c r="C15" s="44">
        <v>1653003601</v>
      </c>
    </row>
    <row r="16" spans="1:3" x14ac:dyDescent="0.25">
      <c r="A16" s="42" t="s">
        <v>933</v>
      </c>
      <c r="B16" s="43" t="s">
        <v>934</v>
      </c>
      <c r="C16" s="44">
        <v>2312218415</v>
      </c>
    </row>
    <row r="17" spans="1:3" x14ac:dyDescent="0.25">
      <c r="A17" s="42" t="s">
        <v>935</v>
      </c>
      <c r="B17" s="43" t="s">
        <v>936</v>
      </c>
      <c r="C17" s="44">
        <v>2459007621</v>
      </c>
    </row>
    <row r="18" spans="1:3" x14ac:dyDescent="0.25">
      <c r="A18" s="42" t="s">
        <v>937</v>
      </c>
      <c r="B18" s="43" t="s">
        <v>938</v>
      </c>
      <c r="C18" s="44">
        <v>7712040126</v>
      </c>
    </row>
    <row r="19" spans="1:3" x14ac:dyDescent="0.25">
      <c r="A19" s="42" t="s">
        <v>939</v>
      </c>
      <c r="B19" s="43" t="s">
        <v>940</v>
      </c>
      <c r="C19" s="44">
        <v>3808091156</v>
      </c>
    </row>
    <row r="20" spans="1:3" x14ac:dyDescent="0.25">
      <c r="A20" s="42" t="s">
        <v>941</v>
      </c>
      <c r="B20" s="43" t="s">
        <v>942</v>
      </c>
      <c r="C20" s="44">
        <v>7709943248</v>
      </c>
    </row>
    <row r="21" spans="1:3" x14ac:dyDescent="0.25">
      <c r="A21" s="42" t="s">
        <v>943</v>
      </c>
      <c r="B21" s="43" t="s">
        <v>944</v>
      </c>
      <c r="C21" s="44">
        <v>2901126323</v>
      </c>
    </row>
    <row r="22" spans="1:3" x14ac:dyDescent="0.25">
      <c r="A22" s="42" t="s">
        <v>945</v>
      </c>
      <c r="B22" s="43" t="s">
        <v>946</v>
      </c>
      <c r="C22" s="44">
        <v>8401008386</v>
      </c>
    </row>
    <row r="23" spans="1:3" x14ac:dyDescent="0.25">
      <c r="A23" s="42" t="s">
        <v>947</v>
      </c>
      <c r="B23" s="43" t="s">
        <v>948</v>
      </c>
      <c r="C23" s="44">
        <v>9705001313</v>
      </c>
    </row>
    <row r="24" spans="1:3" x14ac:dyDescent="0.25">
      <c r="A24" s="42" t="s">
        <v>949</v>
      </c>
      <c r="B24" s="43" t="s">
        <v>950</v>
      </c>
      <c r="C24" s="44">
        <v>7732107883</v>
      </c>
    </row>
    <row r="25" spans="1:3" x14ac:dyDescent="0.25">
      <c r="A25" s="42" t="s">
        <v>951</v>
      </c>
      <c r="B25" s="43" t="s">
        <v>952</v>
      </c>
      <c r="C25" s="44">
        <v>7810814522</v>
      </c>
    </row>
    <row r="26" spans="1:3" x14ac:dyDescent="0.25">
      <c r="A26" s="42" t="s">
        <v>953</v>
      </c>
      <c r="B26" s="43" t="s">
        <v>954</v>
      </c>
      <c r="C26" s="44">
        <v>7713141247</v>
      </c>
    </row>
    <row r="27" spans="1:3" x14ac:dyDescent="0.25">
      <c r="A27" s="42" t="s">
        <v>955</v>
      </c>
      <c r="B27" s="43" t="s">
        <v>956</v>
      </c>
      <c r="C27" s="44">
        <v>7733646084</v>
      </c>
    </row>
    <row r="28" spans="1:3" x14ac:dyDescent="0.25">
      <c r="A28" s="42" t="s">
        <v>957</v>
      </c>
      <c r="B28" s="43" t="s">
        <v>958</v>
      </c>
      <c r="C28" s="44">
        <v>5448100656</v>
      </c>
    </row>
    <row r="29" spans="1:3" x14ac:dyDescent="0.25">
      <c r="A29" s="42" t="s">
        <v>959</v>
      </c>
      <c r="B29" s="43" t="s">
        <v>960</v>
      </c>
      <c r="C29" s="44">
        <v>2901126323</v>
      </c>
    </row>
    <row r="30" spans="1:3" x14ac:dyDescent="0.25">
      <c r="A30" s="42" t="s">
        <v>961</v>
      </c>
      <c r="B30" s="43" t="s">
        <v>962</v>
      </c>
      <c r="C30" s="44">
        <v>6608003013</v>
      </c>
    </row>
    <row r="31" spans="1:3" x14ac:dyDescent="0.25">
      <c r="A31" s="42" t="s">
        <v>963</v>
      </c>
      <c r="B31" s="43" t="s">
        <v>964</v>
      </c>
      <c r="C31" s="44">
        <v>2705012263</v>
      </c>
    </row>
    <row r="32" spans="1:3" x14ac:dyDescent="0.25">
      <c r="A32" s="42" t="s">
        <v>965</v>
      </c>
      <c r="B32" s="43" t="s">
        <v>966</v>
      </c>
      <c r="C32" s="44">
        <v>1645030506</v>
      </c>
    </row>
    <row r="33" spans="1:3" x14ac:dyDescent="0.25">
      <c r="A33" s="42" t="s">
        <v>967</v>
      </c>
      <c r="B33" s="43" t="s">
        <v>968</v>
      </c>
      <c r="C33" s="44">
        <v>7204002873</v>
      </c>
    </row>
    <row r="34" spans="1:3" x14ac:dyDescent="0.25">
      <c r="A34" s="42" t="s">
        <v>969</v>
      </c>
      <c r="B34" s="43" t="s">
        <v>970</v>
      </c>
      <c r="C34" s="44">
        <v>1435149030</v>
      </c>
    </row>
    <row r="35" spans="1:3" x14ac:dyDescent="0.25">
      <c r="A35" s="42" t="s">
        <v>971</v>
      </c>
      <c r="B35" s="43" t="s">
        <v>972</v>
      </c>
      <c r="C35" s="43">
        <v>1650314013</v>
      </c>
    </row>
    <row r="36" spans="1:3" x14ac:dyDescent="0.25">
      <c r="A36" s="42" t="s">
        <v>973</v>
      </c>
      <c r="B36" s="43" t="s">
        <v>974</v>
      </c>
      <c r="C36" s="43">
        <v>1650153800</v>
      </c>
    </row>
    <row r="37" spans="1:3" x14ac:dyDescent="0.25">
      <c r="A37" s="42" t="s">
        <v>975</v>
      </c>
      <c r="B37" s="43" t="s">
        <v>976</v>
      </c>
      <c r="C37" s="43">
        <v>6731035472</v>
      </c>
    </row>
    <row r="38" spans="1:3" x14ac:dyDescent="0.25">
      <c r="A38" s="42" t="s">
        <v>977</v>
      </c>
      <c r="B38" s="43" t="s">
        <v>978</v>
      </c>
      <c r="C38" s="43">
        <v>1650257492</v>
      </c>
    </row>
    <row r="39" spans="1:3" x14ac:dyDescent="0.25">
      <c r="A39" s="42" t="s">
        <v>979</v>
      </c>
      <c r="B39" s="43" t="s">
        <v>980</v>
      </c>
      <c r="C39" s="43">
        <v>6660066030</v>
      </c>
    </row>
    <row r="40" spans="1:3" x14ac:dyDescent="0.25">
      <c r="A40" s="42" t="s">
        <v>981</v>
      </c>
      <c r="B40" s="43" t="s">
        <v>982</v>
      </c>
      <c r="C40" s="43">
        <v>1660067356</v>
      </c>
    </row>
    <row r="41" spans="1:3" x14ac:dyDescent="0.25">
      <c r="A41" s="42" t="s">
        <v>983</v>
      </c>
      <c r="B41" s="43" t="s">
        <v>984</v>
      </c>
      <c r="C41" s="43">
        <v>9717042120</v>
      </c>
    </row>
    <row r="42" spans="1:3" x14ac:dyDescent="0.25">
      <c r="A42" s="42" t="s">
        <v>985</v>
      </c>
      <c r="B42" s="43" t="s">
        <v>986</v>
      </c>
      <c r="C42" s="43">
        <v>1655391893</v>
      </c>
    </row>
    <row r="43" spans="1:3" x14ac:dyDescent="0.25">
      <c r="A43" s="42" t="s">
        <v>987</v>
      </c>
      <c r="B43" s="43" t="s">
        <v>988</v>
      </c>
      <c r="C43" s="43">
        <v>7718142004</v>
      </c>
    </row>
    <row r="44" spans="1:3" x14ac:dyDescent="0.25">
      <c r="A44" s="42" t="s">
        <v>989</v>
      </c>
      <c r="B44" s="43" t="s">
        <v>990</v>
      </c>
      <c r="C44" s="43">
        <v>7736147774</v>
      </c>
    </row>
    <row r="45" spans="1:3" x14ac:dyDescent="0.25">
      <c r="A45" s="42" t="s">
        <v>991</v>
      </c>
      <c r="B45" s="43" t="s">
        <v>992</v>
      </c>
      <c r="C45" s="44">
        <v>7718625072</v>
      </c>
    </row>
    <row r="46" spans="1:3" x14ac:dyDescent="0.25">
      <c r="A46" s="42" t="s">
        <v>993</v>
      </c>
      <c r="B46" s="43" t="s">
        <v>994</v>
      </c>
      <c r="C46" s="44">
        <v>7718894653</v>
      </c>
    </row>
    <row r="47" spans="1:3" x14ac:dyDescent="0.25">
      <c r="A47" s="42" t="s">
        <v>995</v>
      </c>
      <c r="B47" s="43" t="s">
        <v>996</v>
      </c>
      <c r="C47" s="43">
        <v>1658135390</v>
      </c>
    </row>
    <row r="48" spans="1:3" x14ac:dyDescent="0.25">
      <c r="A48" s="42" t="s">
        <v>997</v>
      </c>
      <c r="B48" s="43" t="s">
        <v>998</v>
      </c>
      <c r="C48" s="43">
        <v>1615014747</v>
      </c>
    </row>
    <row r="49" spans="1:3" x14ac:dyDescent="0.25">
      <c r="A49" s="42" t="s">
        <v>999</v>
      </c>
      <c r="B49" s="43" t="s">
        <v>1000</v>
      </c>
      <c r="C49" s="43">
        <v>7721557513</v>
      </c>
    </row>
    <row r="50" spans="1:3" x14ac:dyDescent="0.25">
      <c r="A50" s="42" t="s">
        <v>1001</v>
      </c>
      <c r="B50" s="43" t="s">
        <v>1002</v>
      </c>
      <c r="C50" s="43">
        <v>1660014361</v>
      </c>
    </row>
    <row r="51" spans="1:3" x14ac:dyDescent="0.25">
      <c r="A51" s="42" t="s">
        <v>1003</v>
      </c>
      <c r="B51" s="43" t="s">
        <v>1003</v>
      </c>
      <c r="C51" s="43">
        <v>1650129028</v>
      </c>
    </row>
    <row r="52" spans="1:3" x14ac:dyDescent="0.25">
      <c r="A52" s="42" t="s">
        <v>1004</v>
      </c>
      <c r="B52" s="43" t="s">
        <v>1005</v>
      </c>
      <c r="C52" s="43">
        <v>1650132334</v>
      </c>
    </row>
    <row r="53" spans="1:3" x14ac:dyDescent="0.25">
      <c r="A53" s="42" t="s">
        <v>1006</v>
      </c>
      <c r="B53" s="43" t="s">
        <v>1007</v>
      </c>
      <c r="C53" s="44">
        <v>1653001805</v>
      </c>
    </row>
    <row r="54" spans="1:3" x14ac:dyDescent="0.25">
      <c r="A54" s="42" t="s">
        <v>1008</v>
      </c>
      <c r="B54" s="43" t="s">
        <v>1009</v>
      </c>
      <c r="C54" s="44">
        <v>7714109038</v>
      </c>
    </row>
    <row r="55" spans="1:3" x14ac:dyDescent="0.25">
      <c r="A55" s="42" t="s">
        <v>1010</v>
      </c>
      <c r="B55" s="43" t="s">
        <v>1011</v>
      </c>
      <c r="C55" s="44">
        <v>5249061730</v>
      </c>
    </row>
    <row r="56" spans="1:3" x14ac:dyDescent="0.25">
      <c r="A56" s="42" t="s">
        <v>1012</v>
      </c>
      <c r="B56" s="43" t="s">
        <v>1013</v>
      </c>
      <c r="C56" s="44">
        <v>1656038345</v>
      </c>
    </row>
    <row r="57" spans="1:3" x14ac:dyDescent="0.25">
      <c r="A57" s="42" t="s">
        <v>1014</v>
      </c>
      <c r="B57" s="43" t="s">
        <v>1015</v>
      </c>
      <c r="C57" s="44">
        <v>1656119259</v>
      </c>
    </row>
    <row r="58" spans="1:3" x14ac:dyDescent="0.25">
      <c r="A58" s="42" t="s">
        <v>1016</v>
      </c>
      <c r="B58" s="43" t="s">
        <v>1017</v>
      </c>
      <c r="C58" s="44">
        <v>1650002455</v>
      </c>
    </row>
    <row r="59" spans="1:3" x14ac:dyDescent="0.25">
      <c r="A59" s="42" t="s">
        <v>1018</v>
      </c>
      <c r="B59" s="43" t="s">
        <v>1019</v>
      </c>
      <c r="C59" s="44">
        <v>1650076658</v>
      </c>
    </row>
    <row r="60" spans="1:3" x14ac:dyDescent="0.25">
      <c r="A60" s="42" t="s">
        <v>1020</v>
      </c>
      <c r="B60" s="43" t="s">
        <v>1021</v>
      </c>
      <c r="C60" s="44">
        <v>7706218347</v>
      </c>
    </row>
    <row r="61" spans="1:3" x14ac:dyDescent="0.25">
      <c r="A61" s="42" t="s">
        <v>1022</v>
      </c>
      <c r="B61" s="43" t="s">
        <v>1023</v>
      </c>
      <c r="C61" s="44">
        <v>7702272022</v>
      </c>
    </row>
    <row r="62" spans="1:3" x14ac:dyDescent="0.25">
      <c r="A62" s="42" t="s">
        <v>1024</v>
      </c>
      <c r="B62" s="43" t="s">
        <v>1025</v>
      </c>
      <c r="C62" s="44">
        <v>277015293</v>
      </c>
    </row>
    <row r="63" spans="1:3" x14ac:dyDescent="0.25">
      <c r="A63" s="42" t="s">
        <v>1026</v>
      </c>
      <c r="B63" s="43" t="s">
        <v>1027</v>
      </c>
      <c r="C63" s="44">
        <v>9718068435</v>
      </c>
    </row>
    <row r="64" spans="1:3" x14ac:dyDescent="0.25">
      <c r="A64" s="42" t="s">
        <v>1028</v>
      </c>
      <c r="B64" s="43" t="s">
        <v>1029</v>
      </c>
      <c r="C64" s="44">
        <v>1646043699</v>
      </c>
    </row>
    <row r="65" spans="1:3" x14ac:dyDescent="0.25">
      <c r="A65" s="42" t="s">
        <v>1030</v>
      </c>
      <c r="B65" s="43" t="s">
        <v>1031</v>
      </c>
      <c r="C65" s="44">
        <v>1646031132</v>
      </c>
    </row>
    <row r="66" spans="1:3" x14ac:dyDescent="0.25">
      <c r="A66" s="42" t="s">
        <v>1032</v>
      </c>
      <c r="B66" s="43" t="s">
        <v>1033</v>
      </c>
      <c r="C66" s="44">
        <v>165037807496</v>
      </c>
    </row>
    <row r="67" spans="1:3" x14ac:dyDescent="0.25">
      <c r="A67" s="42" t="s">
        <v>1034</v>
      </c>
      <c r="B67" s="43" t="s">
        <v>1035</v>
      </c>
      <c r="C67" s="44">
        <v>5504043115</v>
      </c>
    </row>
    <row r="68" spans="1:3" x14ac:dyDescent="0.25">
      <c r="A68" s="42" t="s">
        <v>1036</v>
      </c>
      <c r="B68" s="43" t="s">
        <v>1037</v>
      </c>
      <c r="C68" s="44">
        <v>1650237104</v>
      </c>
    </row>
    <row r="69" spans="1:3" x14ac:dyDescent="0.25">
      <c r="A69" s="42" t="s">
        <v>1038</v>
      </c>
      <c r="B69" s="43" t="s">
        <v>1039</v>
      </c>
      <c r="C69" s="44">
        <v>1650313877</v>
      </c>
    </row>
    <row r="70" spans="1:3" x14ac:dyDescent="0.25">
      <c r="A70" s="42" t="s">
        <v>1040</v>
      </c>
      <c r="B70" s="43" t="s">
        <v>1041</v>
      </c>
      <c r="C70" s="44">
        <v>1650194637</v>
      </c>
    </row>
    <row r="71" spans="1:3" x14ac:dyDescent="0.25">
      <c r="A71" s="42" t="s">
        <v>1042</v>
      </c>
      <c r="B71" s="43" t="s">
        <v>1043</v>
      </c>
      <c r="C71" s="44">
        <v>326033636</v>
      </c>
    </row>
    <row r="72" spans="1:3" x14ac:dyDescent="0.25">
      <c r="A72" s="42" t="s">
        <v>1044</v>
      </c>
      <c r="B72" s="43" t="s">
        <v>1045</v>
      </c>
      <c r="C72" s="44">
        <v>1644087683</v>
      </c>
    </row>
    <row r="73" spans="1:3" x14ac:dyDescent="0.25">
      <c r="A73" s="42" t="s">
        <v>1046</v>
      </c>
      <c r="B73" s="43" t="s">
        <v>1047</v>
      </c>
      <c r="C73" s="44">
        <v>7728168971</v>
      </c>
    </row>
    <row r="74" spans="1:3" x14ac:dyDescent="0.25">
      <c r="A74" s="42" t="s">
        <v>1048</v>
      </c>
      <c r="B74" s="43" t="s">
        <v>1049</v>
      </c>
      <c r="C74" s="44">
        <v>1650310403</v>
      </c>
    </row>
    <row r="75" spans="1:3" x14ac:dyDescent="0.25">
      <c r="A75" s="42" t="s">
        <v>1050</v>
      </c>
      <c r="B75" s="43" t="s">
        <v>1051</v>
      </c>
      <c r="C75" s="44">
        <v>2130191180</v>
      </c>
    </row>
    <row r="76" spans="1:3" x14ac:dyDescent="0.25">
      <c r="A76" s="42" t="s">
        <v>1052</v>
      </c>
      <c r="B76" s="43" t="s">
        <v>1053</v>
      </c>
      <c r="C76" s="44">
        <v>9710026225</v>
      </c>
    </row>
    <row r="77" spans="1:3" x14ac:dyDescent="0.25">
      <c r="A77" s="42" t="s">
        <v>1054</v>
      </c>
      <c r="B77" s="43" t="s">
        <v>1055</v>
      </c>
      <c r="C77" s="44">
        <v>7733714785</v>
      </c>
    </row>
    <row r="78" spans="1:3" x14ac:dyDescent="0.25">
      <c r="A78" s="42" t="s">
        <v>1056</v>
      </c>
      <c r="B78" s="43" t="s">
        <v>1056</v>
      </c>
      <c r="C78" s="44">
        <v>165036266597</v>
      </c>
    </row>
    <row r="79" spans="1:3" x14ac:dyDescent="0.25">
      <c r="A79" s="42" t="s">
        <v>1057</v>
      </c>
      <c r="B79" s="43" t="s">
        <v>1058</v>
      </c>
      <c r="C79" s="44"/>
    </row>
    <row r="80" spans="1:3" x14ac:dyDescent="0.25">
      <c r="A80" s="42" t="s">
        <v>1059</v>
      </c>
      <c r="B80" s="43" t="s">
        <v>1060</v>
      </c>
      <c r="C80" s="44">
        <v>5262254403</v>
      </c>
    </row>
    <row r="81" spans="1:3" x14ac:dyDescent="0.25">
      <c r="A81" s="42" t="s">
        <v>1061</v>
      </c>
      <c r="B81" s="43" t="s">
        <v>1062</v>
      </c>
      <c r="C81" s="44">
        <v>6729038941</v>
      </c>
    </row>
    <row r="82" spans="1:3" x14ac:dyDescent="0.25">
      <c r="A82" s="42" t="s">
        <v>1063</v>
      </c>
      <c r="B82" s="43" t="s">
        <v>1064</v>
      </c>
      <c r="C82" s="44">
        <v>5260270696</v>
      </c>
    </row>
    <row r="83" spans="1:3" x14ac:dyDescent="0.25">
      <c r="A83" s="42" t="s">
        <v>1065</v>
      </c>
      <c r="B83" s="43" t="s">
        <v>1066</v>
      </c>
      <c r="C83" s="44">
        <v>6731002766</v>
      </c>
    </row>
    <row r="84" spans="1:3" x14ac:dyDescent="0.25">
      <c r="A84" s="42" t="s">
        <v>1067</v>
      </c>
      <c r="B84" s="43" t="s">
        <v>1068</v>
      </c>
      <c r="C84" s="44">
        <v>6731062123</v>
      </c>
    </row>
    <row r="85" spans="1:3" x14ac:dyDescent="0.25">
      <c r="A85" s="42" t="s">
        <v>1069</v>
      </c>
      <c r="B85" s="43" t="s">
        <v>1070</v>
      </c>
      <c r="C85" s="44">
        <v>673008440521</v>
      </c>
    </row>
    <row r="86" spans="1:3" x14ac:dyDescent="0.25">
      <c r="A86" s="42" t="s">
        <v>1071</v>
      </c>
      <c r="B86" s="43" t="s">
        <v>1072</v>
      </c>
      <c r="C86" s="44">
        <v>1661023369</v>
      </c>
    </row>
    <row r="87" spans="1:3" x14ac:dyDescent="0.25">
      <c r="A87" s="42" t="s">
        <v>1073</v>
      </c>
      <c r="B87" s="43" t="s">
        <v>1074</v>
      </c>
      <c r="C87" s="44">
        <v>7706786357</v>
      </c>
    </row>
    <row r="88" spans="1:3" x14ac:dyDescent="0.25">
      <c r="A88" s="42" t="s">
        <v>34</v>
      </c>
      <c r="B88" s="43" t="s">
        <v>34</v>
      </c>
      <c r="C88" s="44">
        <v>165106630348</v>
      </c>
    </row>
    <row r="89" spans="1:3" x14ac:dyDescent="0.25">
      <c r="A89" s="42" t="s">
        <v>1075</v>
      </c>
      <c r="B89" s="43" t="s">
        <v>1076</v>
      </c>
      <c r="C89" s="44">
        <v>7716704314</v>
      </c>
    </row>
    <row r="90" spans="1:3" x14ac:dyDescent="0.25">
      <c r="A90" s="42" t="s">
        <v>1077</v>
      </c>
      <c r="B90" s="43" t="s">
        <v>1078</v>
      </c>
      <c r="C90" s="44">
        <v>1831019549</v>
      </c>
    </row>
    <row r="91" spans="1:3" x14ac:dyDescent="0.25">
      <c r="A91" s="42" t="s">
        <v>1079</v>
      </c>
      <c r="B91" s="43" t="s">
        <v>1080</v>
      </c>
      <c r="C91" s="44">
        <v>1650285500</v>
      </c>
    </row>
    <row r="92" spans="1:3" x14ac:dyDescent="0.25">
      <c r="A92" s="42" t="s">
        <v>1081</v>
      </c>
      <c r="B92" s="43" t="s">
        <v>1082</v>
      </c>
      <c r="C92" s="44">
        <v>7726416442</v>
      </c>
    </row>
    <row r="93" spans="1:3" x14ac:dyDescent="0.25">
      <c r="A93" s="42" t="s">
        <v>1083</v>
      </c>
      <c r="B93" s="43" t="s">
        <v>1084</v>
      </c>
      <c r="C93" s="44">
        <v>7203380907</v>
      </c>
    </row>
    <row r="94" spans="1:3" x14ac:dyDescent="0.25">
      <c r="A94" s="42" t="s">
        <v>1085</v>
      </c>
      <c r="B94" s="43" t="s">
        <v>1086</v>
      </c>
      <c r="C94" s="44">
        <v>1657253899</v>
      </c>
    </row>
    <row r="95" spans="1:3" x14ac:dyDescent="0.25">
      <c r="A95" s="42" t="s">
        <v>1087</v>
      </c>
      <c r="B95" s="43" t="s">
        <v>1088</v>
      </c>
      <c r="C95" s="44">
        <v>7713215523</v>
      </c>
    </row>
    <row r="96" spans="1:3" x14ac:dyDescent="0.25">
      <c r="A96" s="42" t="s">
        <v>1089</v>
      </c>
      <c r="B96" s="43" t="s">
        <v>1090</v>
      </c>
      <c r="C96" s="44">
        <v>1656000493</v>
      </c>
    </row>
    <row r="97" spans="1:3" x14ac:dyDescent="0.25">
      <c r="A97" s="42" t="s">
        <v>1091</v>
      </c>
      <c r="B97" s="43" t="s">
        <v>1092</v>
      </c>
      <c r="C97" s="44">
        <v>7722337415</v>
      </c>
    </row>
    <row r="98" spans="1:3" x14ac:dyDescent="0.25">
      <c r="A98" s="42" t="s">
        <v>1093</v>
      </c>
      <c r="B98" s="43" t="s">
        <v>1094</v>
      </c>
      <c r="C98" s="44">
        <v>7726703380</v>
      </c>
    </row>
    <row r="99" spans="1:3" x14ac:dyDescent="0.25">
      <c r="A99" s="42" t="s">
        <v>1095</v>
      </c>
      <c r="B99" s="43" t="s">
        <v>1096</v>
      </c>
      <c r="C99" s="44">
        <v>1658218128</v>
      </c>
    </row>
    <row r="100" spans="1:3" x14ac:dyDescent="0.25">
      <c r="A100" s="42" t="s">
        <v>1097</v>
      </c>
      <c r="B100" s="43" t="s">
        <v>1098</v>
      </c>
      <c r="C100" s="44">
        <v>1655375718</v>
      </c>
    </row>
    <row r="101" spans="1:3" x14ac:dyDescent="0.25">
      <c r="A101" s="42" t="s">
        <v>1099</v>
      </c>
      <c r="B101" s="43" t="s">
        <v>1100</v>
      </c>
      <c r="C101" s="44">
        <v>7702567315</v>
      </c>
    </row>
    <row r="102" spans="1:3" x14ac:dyDescent="0.25">
      <c r="A102" s="42" t="s">
        <v>1101</v>
      </c>
      <c r="B102" s="43" t="s">
        <v>1102</v>
      </c>
      <c r="C102" s="44">
        <v>6671424295</v>
      </c>
    </row>
    <row r="103" spans="1:3" x14ac:dyDescent="0.25">
      <c r="A103" s="42" t="s">
        <v>1103</v>
      </c>
      <c r="B103" s="43" t="s">
        <v>1104</v>
      </c>
      <c r="C103" s="44">
        <v>9718002875</v>
      </c>
    </row>
    <row r="104" spans="1:3" x14ac:dyDescent="0.25">
      <c r="A104" s="42" t="s">
        <v>1105</v>
      </c>
      <c r="B104" s="43" t="s">
        <v>1106</v>
      </c>
      <c r="C104" s="44">
        <v>1650322818</v>
      </c>
    </row>
    <row r="105" spans="1:3" x14ac:dyDescent="0.25">
      <c r="A105" s="42" t="s">
        <v>1107</v>
      </c>
      <c r="B105" s="43" t="s">
        <v>1108</v>
      </c>
      <c r="C105" s="44">
        <v>1650191516</v>
      </c>
    </row>
    <row r="106" spans="1:3" x14ac:dyDescent="0.25">
      <c r="A106" s="42" t="s">
        <v>1109</v>
      </c>
      <c r="B106" s="43" t="s">
        <v>1109</v>
      </c>
      <c r="C106" s="44">
        <v>7704275621</v>
      </c>
    </row>
    <row r="107" spans="1:3" x14ac:dyDescent="0.25">
      <c r="A107" s="42" t="s">
        <v>1110</v>
      </c>
      <c r="B107" s="43" t="s">
        <v>1110</v>
      </c>
      <c r="C107" s="44">
        <v>7709443037</v>
      </c>
    </row>
    <row r="108" spans="1:3" x14ac:dyDescent="0.25">
      <c r="A108" s="42" t="s">
        <v>1111</v>
      </c>
      <c r="B108" s="43" t="s">
        <v>1111</v>
      </c>
      <c r="C108" s="44">
        <v>1650315610</v>
      </c>
    </row>
    <row r="109" spans="1:3" x14ac:dyDescent="0.25">
      <c r="A109" s="42" t="s">
        <v>1112</v>
      </c>
      <c r="B109" s="43" t="s">
        <v>1113</v>
      </c>
      <c r="C109" s="44">
        <v>6685162699</v>
      </c>
    </row>
    <row r="110" spans="1:3" x14ac:dyDescent="0.25">
      <c r="A110" s="42" t="s">
        <v>1114</v>
      </c>
      <c r="B110" s="43" t="s">
        <v>1115</v>
      </c>
      <c r="C110" s="44">
        <v>1650055055</v>
      </c>
    </row>
    <row r="111" spans="1:3" x14ac:dyDescent="0.25">
      <c r="A111" s="42" t="s">
        <v>1116</v>
      </c>
      <c r="B111" s="43" t="s">
        <v>1117</v>
      </c>
      <c r="C111" s="44">
        <v>7722017180</v>
      </c>
    </row>
    <row r="112" spans="1:3" x14ac:dyDescent="0.25">
      <c r="A112" s="42" t="s">
        <v>1118</v>
      </c>
      <c r="B112" s="43" t="s">
        <v>1119</v>
      </c>
      <c r="C112" s="44">
        <v>7730208886</v>
      </c>
    </row>
    <row r="113" spans="1:3" x14ac:dyDescent="0.25">
      <c r="A113" s="42" t="s">
        <v>1120</v>
      </c>
      <c r="B113" s="43" t="s">
        <v>1121</v>
      </c>
      <c r="C113" s="44">
        <v>1650227755</v>
      </c>
    </row>
    <row r="114" spans="1:3" x14ac:dyDescent="0.25">
      <c r="A114" s="42" t="s">
        <v>1122</v>
      </c>
      <c r="B114" s="43" t="s">
        <v>1123</v>
      </c>
      <c r="C114" s="44">
        <v>7203364126</v>
      </c>
    </row>
    <row r="115" spans="1:3" x14ac:dyDescent="0.25">
      <c r="A115" s="42" t="s">
        <v>1124</v>
      </c>
      <c r="B115" s="43" t="s">
        <v>1125</v>
      </c>
      <c r="C115" s="44">
        <v>6027055657</v>
      </c>
    </row>
    <row r="116" spans="1:3" x14ac:dyDescent="0.25">
      <c r="A116" s="42" t="s">
        <v>1126</v>
      </c>
      <c r="B116" s="43" t="s">
        <v>1127</v>
      </c>
      <c r="C116" s="44">
        <v>1639035175</v>
      </c>
    </row>
    <row r="117" spans="1:3" x14ac:dyDescent="0.25">
      <c r="A117" s="42" t="s">
        <v>1128</v>
      </c>
      <c r="B117" s="43" t="s">
        <v>1129</v>
      </c>
      <c r="C117" s="44">
        <v>1639024977</v>
      </c>
    </row>
    <row r="118" spans="1:3" x14ac:dyDescent="0.25">
      <c r="A118" s="42" t="s">
        <v>1130</v>
      </c>
      <c r="B118" s="43" t="s">
        <v>1131</v>
      </c>
      <c r="C118" s="44">
        <v>7813192076</v>
      </c>
    </row>
    <row r="119" spans="1:3" x14ac:dyDescent="0.25">
      <c r="A119" s="42" t="s">
        <v>1132</v>
      </c>
      <c r="B119" s="43" t="s">
        <v>1133</v>
      </c>
      <c r="C119" s="44">
        <v>165716333650</v>
      </c>
    </row>
    <row r="120" spans="1:3" x14ac:dyDescent="0.25">
      <c r="A120" s="42" t="s">
        <v>1134</v>
      </c>
      <c r="B120" s="43" t="s">
        <v>1135</v>
      </c>
      <c r="C120" s="44">
        <v>166109120900</v>
      </c>
    </row>
    <row r="121" spans="1:3" x14ac:dyDescent="0.25">
      <c r="A121" s="42" t="s">
        <v>1136</v>
      </c>
      <c r="B121" s="43" t="s">
        <v>1137</v>
      </c>
      <c r="C121" s="44">
        <v>7817311895</v>
      </c>
    </row>
    <row r="122" spans="1:3" x14ac:dyDescent="0.25">
      <c r="A122" s="42" t="s">
        <v>1138</v>
      </c>
      <c r="B122" s="43" t="s">
        <v>1139</v>
      </c>
      <c r="C122" s="44">
        <v>1659128300</v>
      </c>
    </row>
    <row r="123" spans="1:3" x14ac:dyDescent="0.25">
      <c r="A123" s="42" t="s">
        <v>1140</v>
      </c>
      <c r="B123" s="43" t="s">
        <v>1141</v>
      </c>
      <c r="C123" s="44">
        <v>1650172070</v>
      </c>
    </row>
    <row r="124" spans="1:3" x14ac:dyDescent="0.25">
      <c r="A124" s="42" t="s">
        <v>1142</v>
      </c>
      <c r="B124" s="43" t="s">
        <v>1143</v>
      </c>
      <c r="C124" s="44"/>
    </row>
    <row r="125" spans="1:3" x14ac:dyDescent="0.25">
      <c r="A125" s="42" t="s">
        <v>1144</v>
      </c>
      <c r="B125" s="43" t="s">
        <v>1145</v>
      </c>
      <c r="C125" s="44">
        <v>5001038736</v>
      </c>
    </row>
    <row r="126" spans="1:3" x14ac:dyDescent="0.25">
      <c r="A126" s="42" t="s">
        <v>1146</v>
      </c>
      <c r="B126" s="43" t="s">
        <v>1147</v>
      </c>
      <c r="C126" s="44">
        <v>7812022787</v>
      </c>
    </row>
    <row r="127" spans="1:3" x14ac:dyDescent="0.25">
      <c r="A127" s="42" t="s">
        <v>1148</v>
      </c>
      <c r="B127" s="43" t="s">
        <v>1149</v>
      </c>
      <c r="C127" s="44">
        <v>7826705374</v>
      </c>
    </row>
    <row r="128" spans="1:3" x14ac:dyDescent="0.25">
      <c r="A128" s="42" t="s">
        <v>1150</v>
      </c>
      <c r="B128" s="43" t="s">
        <v>1150</v>
      </c>
      <c r="C128" s="44">
        <v>31402088937</v>
      </c>
    </row>
    <row r="129" spans="1:3" x14ac:dyDescent="0.25">
      <c r="A129" s="42" t="s">
        <v>1151</v>
      </c>
      <c r="B129" s="43" t="s">
        <v>1151</v>
      </c>
      <c r="C129" s="44">
        <v>31401947600</v>
      </c>
    </row>
    <row r="130" spans="1:3" x14ac:dyDescent="0.25">
      <c r="A130" s="42" t="s">
        <v>1152</v>
      </c>
      <c r="B130" s="43" t="s">
        <v>1153</v>
      </c>
      <c r="C130" s="44">
        <v>1656089928</v>
      </c>
    </row>
    <row r="131" spans="1:3" x14ac:dyDescent="0.25">
      <c r="A131" s="42" t="s">
        <v>1154</v>
      </c>
      <c r="B131" s="43" t="s">
        <v>1153</v>
      </c>
      <c r="C131" s="44">
        <v>1661060272</v>
      </c>
    </row>
    <row r="132" spans="1:3" x14ac:dyDescent="0.25">
      <c r="A132" s="42" t="s">
        <v>1155</v>
      </c>
      <c r="B132" s="43" t="s">
        <v>1156</v>
      </c>
      <c r="C132" s="44">
        <v>7810627000</v>
      </c>
    </row>
    <row r="133" spans="1:3" x14ac:dyDescent="0.25">
      <c r="A133" s="42" t="s">
        <v>1157</v>
      </c>
      <c r="B133" s="43" t="s">
        <v>1158</v>
      </c>
      <c r="C133" s="44">
        <v>165026204922</v>
      </c>
    </row>
    <row r="134" spans="1:3" x14ac:dyDescent="0.25">
      <c r="A134" s="42" t="s">
        <v>1159</v>
      </c>
      <c r="B134" s="43" t="s">
        <v>1160</v>
      </c>
      <c r="C134" s="44">
        <v>471514227007</v>
      </c>
    </row>
    <row r="135" spans="1:3" x14ac:dyDescent="0.25">
      <c r="A135" s="42" t="s">
        <v>1161</v>
      </c>
      <c r="B135" s="43" t="s">
        <v>1162</v>
      </c>
      <c r="C135" s="44">
        <v>166007797884</v>
      </c>
    </row>
    <row r="136" spans="1:3" x14ac:dyDescent="0.25">
      <c r="A136" s="42" t="s">
        <v>1163</v>
      </c>
      <c r="B136" s="43" t="s">
        <v>1164</v>
      </c>
      <c r="C136" s="44">
        <v>278930802</v>
      </c>
    </row>
    <row r="137" spans="1:3" x14ac:dyDescent="0.25">
      <c r="A137" s="42" t="s">
        <v>1165</v>
      </c>
      <c r="B137" s="43" t="s">
        <v>1166</v>
      </c>
      <c r="C137" s="44">
        <v>7714352064</v>
      </c>
    </row>
    <row r="138" spans="1:3" x14ac:dyDescent="0.25">
      <c r="A138" s="42" t="s">
        <v>1167</v>
      </c>
      <c r="B138" s="43" t="s">
        <v>1168</v>
      </c>
      <c r="C138" s="44">
        <v>277077282</v>
      </c>
    </row>
    <row r="139" spans="1:3" x14ac:dyDescent="0.25">
      <c r="A139" s="42" t="s">
        <v>1169</v>
      </c>
      <c r="B139" s="43" t="s">
        <v>1170</v>
      </c>
      <c r="C139" s="44">
        <v>7718542411</v>
      </c>
    </row>
    <row r="140" spans="1:3" x14ac:dyDescent="0.25">
      <c r="A140" s="42" t="s">
        <v>1171</v>
      </c>
      <c r="B140" s="43" t="s">
        <v>1172</v>
      </c>
      <c r="C140" s="44">
        <v>9709004234</v>
      </c>
    </row>
    <row r="141" spans="1:3" x14ac:dyDescent="0.25">
      <c r="A141" s="42" t="s">
        <v>1173</v>
      </c>
      <c r="B141" s="43" t="s">
        <v>1174</v>
      </c>
      <c r="C141" s="44">
        <v>1650121276</v>
      </c>
    </row>
    <row r="142" spans="1:3" x14ac:dyDescent="0.25">
      <c r="A142" s="42" t="s">
        <v>1175</v>
      </c>
      <c r="B142" s="43" t="s">
        <v>1176</v>
      </c>
      <c r="C142" s="44"/>
    </row>
    <row r="143" spans="1:3" x14ac:dyDescent="0.25">
      <c r="A143" s="42" t="s">
        <v>1177</v>
      </c>
      <c r="B143" s="43" t="s">
        <v>1178</v>
      </c>
      <c r="C143" s="44">
        <v>1650040549</v>
      </c>
    </row>
    <row r="144" spans="1:3" x14ac:dyDescent="0.25">
      <c r="A144" s="42" t="s">
        <v>1179</v>
      </c>
      <c r="B144" s="43" t="s">
        <v>1180</v>
      </c>
      <c r="C144" s="44">
        <v>5257077967</v>
      </c>
    </row>
    <row r="145" spans="1:3" x14ac:dyDescent="0.25">
      <c r="A145" s="42" t="s">
        <v>1181</v>
      </c>
      <c r="B145" s="43" t="s">
        <v>1182</v>
      </c>
      <c r="C145" s="44">
        <v>1655152609</v>
      </c>
    </row>
    <row r="146" spans="1:3" x14ac:dyDescent="0.25">
      <c r="A146" s="42" t="s">
        <v>1183</v>
      </c>
      <c r="B146" s="43" t="s">
        <v>1184</v>
      </c>
      <c r="C146" s="44">
        <v>6660091703</v>
      </c>
    </row>
    <row r="147" spans="1:3" x14ac:dyDescent="0.25">
      <c r="A147" s="42" t="s">
        <v>1185</v>
      </c>
      <c r="B147" s="43" t="s">
        <v>1186</v>
      </c>
      <c r="C147" s="44">
        <v>7810623359</v>
      </c>
    </row>
    <row r="148" spans="1:3" x14ac:dyDescent="0.25">
      <c r="A148" s="42" t="s">
        <v>1187</v>
      </c>
      <c r="B148" s="43" t="s">
        <v>1187</v>
      </c>
      <c r="C148" s="44">
        <v>165024947778</v>
      </c>
    </row>
    <row r="149" spans="1:3" x14ac:dyDescent="0.25">
      <c r="A149" s="42" t="s">
        <v>64</v>
      </c>
      <c r="B149" s="43" t="s">
        <v>64</v>
      </c>
      <c r="C149" s="44">
        <v>165047537305</v>
      </c>
    </row>
    <row r="150" spans="1:3" x14ac:dyDescent="0.25">
      <c r="A150" s="42" t="s">
        <v>1188</v>
      </c>
      <c r="B150" s="43" t="s">
        <v>1189</v>
      </c>
      <c r="C150" s="44">
        <v>1650348654</v>
      </c>
    </row>
    <row r="151" spans="1:3" x14ac:dyDescent="0.25">
      <c r="A151" s="42" t="s">
        <v>1190</v>
      </c>
      <c r="B151" s="43" t="s">
        <v>1191</v>
      </c>
      <c r="C151" s="44">
        <v>410105496792</v>
      </c>
    </row>
    <row r="152" spans="1:3" x14ac:dyDescent="0.25">
      <c r="A152" s="42" t="s">
        <v>1192</v>
      </c>
      <c r="B152" s="43" t="s">
        <v>1193</v>
      </c>
      <c r="C152" s="44">
        <v>1831030969</v>
      </c>
    </row>
    <row r="153" spans="1:3" x14ac:dyDescent="0.25">
      <c r="A153" s="42" t="s">
        <v>1194</v>
      </c>
      <c r="B153" s="43" t="s">
        <v>1195</v>
      </c>
      <c r="C153" s="44">
        <v>1650018014</v>
      </c>
    </row>
    <row r="154" spans="1:3" x14ac:dyDescent="0.25">
      <c r="A154" s="42" t="s">
        <v>1196</v>
      </c>
      <c r="B154" s="43" t="s">
        <v>1197</v>
      </c>
      <c r="C154" s="44">
        <v>163901717907</v>
      </c>
    </row>
    <row r="155" spans="1:3" x14ac:dyDescent="0.25">
      <c r="A155" s="42" t="s">
        <v>69</v>
      </c>
      <c r="B155" s="43" t="s">
        <v>69</v>
      </c>
      <c r="C155" s="44">
        <v>164607136321</v>
      </c>
    </row>
    <row r="156" spans="1:3" x14ac:dyDescent="0.25">
      <c r="A156" s="42" t="s">
        <v>1198</v>
      </c>
      <c r="B156" s="43" t="s">
        <v>1199</v>
      </c>
      <c r="C156" s="44">
        <v>1624446077</v>
      </c>
    </row>
    <row r="157" spans="1:3" x14ac:dyDescent="0.25">
      <c r="A157" s="42" t="s">
        <v>1200</v>
      </c>
      <c r="B157" s="43" t="s">
        <v>1201</v>
      </c>
      <c r="C157" s="44">
        <v>665900863356</v>
      </c>
    </row>
    <row r="158" spans="1:3" x14ac:dyDescent="0.25">
      <c r="A158" s="42" t="s">
        <v>1202</v>
      </c>
      <c r="B158" s="43" t="s">
        <v>1203</v>
      </c>
      <c r="C158" s="44">
        <v>1832137834</v>
      </c>
    </row>
    <row r="159" spans="1:3" x14ac:dyDescent="0.25">
      <c r="A159" s="42" t="s">
        <v>1204</v>
      </c>
      <c r="B159" s="43" t="s">
        <v>1205</v>
      </c>
      <c r="C159" s="44">
        <v>7709196405</v>
      </c>
    </row>
    <row r="160" spans="1:3" x14ac:dyDescent="0.25">
      <c r="A160" s="42" t="s">
        <v>1206</v>
      </c>
      <c r="B160" s="43" t="s">
        <v>1207</v>
      </c>
      <c r="C160" s="44">
        <v>1620000411</v>
      </c>
    </row>
    <row r="161" spans="1:3" x14ac:dyDescent="0.25">
      <c r="A161" s="42" t="s">
        <v>1208</v>
      </c>
      <c r="B161" s="43" t="s">
        <v>1209</v>
      </c>
      <c r="C161" s="44">
        <v>7729564914</v>
      </c>
    </row>
    <row r="162" spans="1:3" x14ac:dyDescent="0.25">
      <c r="A162" s="42" t="s">
        <v>1210</v>
      </c>
      <c r="B162" s="43" t="s">
        <v>1211</v>
      </c>
      <c r="C162" s="44">
        <v>1650088477</v>
      </c>
    </row>
    <row r="163" spans="1:3" x14ac:dyDescent="0.25">
      <c r="A163" s="42" t="s">
        <v>1212</v>
      </c>
      <c r="B163" s="43" t="s">
        <v>1213</v>
      </c>
      <c r="C163" s="44">
        <v>1657060551</v>
      </c>
    </row>
    <row r="164" spans="1:3" x14ac:dyDescent="0.25">
      <c r="A164" s="42" t="s">
        <v>1214</v>
      </c>
      <c r="B164" s="43" t="s">
        <v>1215</v>
      </c>
      <c r="C164" s="44">
        <v>1657143938</v>
      </c>
    </row>
    <row r="165" spans="1:3" x14ac:dyDescent="0.25">
      <c r="A165" s="42" t="s">
        <v>1216</v>
      </c>
      <c r="B165" s="43" t="s">
        <v>1217</v>
      </c>
      <c r="C165" s="44">
        <v>7802451603</v>
      </c>
    </row>
    <row r="166" spans="1:3" x14ac:dyDescent="0.25">
      <c r="A166" s="42" t="s">
        <v>1218</v>
      </c>
      <c r="B166" s="43" t="s">
        <v>1219</v>
      </c>
      <c r="C166" s="44">
        <v>7704784450</v>
      </c>
    </row>
    <row r="167" spans="1:3" x14ac:dyDescent="0.25">
      <c r="A167" s="42" t="s">
        <v>1220</v>
      </c>
      <c r="B167" s="43" t="s">
        <v>1220</v>
      </c>
      <c r="C167" s="44">
        <v>165019185115</v>
      </c>
    </row>
    <row r="168" spans="1:3" x14ac:dyDescent="0.25">
      <c r="A168" s="42" t="s">
        <v>1221</v>
      </c>
      <c r="B168" s="43" t="s">
        <v>1222</v>
      </c>
      <c r="C168" s="44">
        <v>1650067050</v>
      </c>
    </row>
    <row r="169" spans="1:3" x14ac:dyDescent="0.25">
      <c r="A169" s="42" t="s">
        <v>1223</v>
      </c>
      <c r="B169" s="43" t="s">
        <v>1224</v>
      </c>
      <c r="C169" s="44">
        <v>1658213948</v>
      </c>
    </row>
    <row r="170" spans="1:3" x14ac:dyDescent="0.25">
      <c r="A170" s="42" t="s">
        <v>1225</v>
      </c>
      <c r="B170" s="43" t="s">
        <v>1226</v>
      </c>
      <c r="C170" s="44">
        <v>5261003830</v>
      </c>
    </row>
    <row r="171" spans="1:3" x14ac:dyDescent="0.25">
      <c r="A171" s="42" t="s">
        <v>1227</v>
      </c>
      <c r="B171" s="43" t="s">
        <v>1228</v>
      </c>
      <c r="C171" s="44">
        <v>5207013502</v>
      </c>
    </row>
    <row r="172" spans="1:3" x14ac:dyDescent="0.25">
      <c r="A172" s="42" t="s">
        <v>1229</v>
      </c>
      <c r="B172" s="43" t="s">
        <v>1230</v>
      </c>
      <c r="C172" s="44">
        <v>7813028750</v>
      </c>
    </row>
    <row r="173" spans="1:3" x14ac:dyDescent="0.25">
      <c r="A173" s="42" t="s">
        <v>1231</v>
      </c>
      <c r="B173" s="43" t="s">
        <v>1232</v>
      </c>
      <c r="C173" s="44">
        <v>5902104208</v>
      </c>
    </row>
    <row r="174" spans="1:3" x14ac:dyDescent="0.25">
      <c r="A174" s="42" t="s">
        <v>1233</v>
      </c>
      <c r="B174" s="43" t="s">
        <v>1234</v>
      </c>
      <c r="C174" s="44">
        <v>6163009297</v>
      </c>
    </row>
    <row r="175" spans="1:3" x14ac:dyDescent="0.25">
      <c r="A175" s="42" t="s">
        <v>1235</v>
      </c>
      <c r="B175" s="43" t="s">
        <v>1236</v>
      </c>
      <c r="C175" s="44">
        <v>1660165177</v>
      </c>
    </row>
    <row r="176" spans="1:3" x14ac:dyDescent="0.25">
      <c r="A176" s="42" t="s">
        <v>1237</v>
      </c>
      <c r="B176" s="43" t="s">
        <v>1238</v>
      </c>
      <c r="C176" s="44">
        <v>7720351140</v>
      </c>
    </row>
    <row r="177" spans="1:3" x14ac:dyDescent="0.25">
      <c r="A177" s="42" t="s">
        <v>1239</v>
      </c>
      <c r="B177" s="43" t="s">
        <v>1240</v>
      </c>
      <c r="C177" s="44">
        <v>275916655</v>
      </c>
    </row>
    <row r="178" spans="1:3" x14ac:dyDescent="0.25">
      <c r="A178" s="42" t="s">
        <v>1241</v>
      </c>
      <c r="B178" s="43" t="s">
        <v>1242</v>
      </c>
      <c r="C178" s="44">
        <v>7804004400</v>
      </c>
    </row>
    <row r="179" spans="1:3" x14ac:dyDescent="0.25">
      <c r="A179" s="42" t="s">
        <v>1243</v>
      </c>
      <c r="B179" s="43" t="s">
        <v>1244</v>
      </c>
      <c r="C179" s="44"/>
    </row>
    <row r="180" spans="1:3" x14ac:dyDescent="0.25">
      <c r="A180" s="42" t="s">
        <v>1245</v>
      </c>
      <c r="B180" s="43" t="s">
        <v>1245</v>
      </c>
      <c r="C180" s="44">
        <v>31401815146</v>
      </c>
    </row>
    <row r="181" spans="1:3" x14ac:dyDescent="0.25">
      <c r="A181" s="42" t="s">
        <v>1246</v>
      </c>
      <c r="B181" s="43" t="s">
        <v>1247</v>
      </c>
      <c r="C181" s="44">
        <v>5244009279</v>
      </c>
    </row>
    <row r="182" spans="1:3" x14ac:dyDescent="0.25">
      <c r="A182" s="42" t="s">
        <v>1248</v>
      </c>
      <c r="B182" s="43" t="s">
        <v>1249</v>
      </c>
      <c r="C182" s="44">
        <v>1658049423</v>
      </c>
    </row>
    <row r="183" spans="1:3" x14ac:dyDescent="0.25">
      <c r="A183" s="42" t="s">
        <v>1250</v>
      </c>
      <c r="B183" s="43" t="s">
        <v>1251</v>
      </c>
      <c r="C183" s="44">
        <v>6318239786</v>
      </c>
    </row>
    <row r="184" spans="1:3" x14ac:dyDescent="0.25">
      <c r="A184" s="42" t="s">
        <v>1252</v>
      </c>
      <c r="B184" s="43" t="s">
        <v>1253</v>
      </c>
      <c r="C184" s="44">
        <v>2130060741</v>
      </c>
    </row>
    <row r="185" spans="1:3" x14ac:dyDescent="0.25">
      <c r="A185" s="42" t="s">
        <v>82</v>
      </c>
      <c r="B185" s="43" t="s">
        <v>82</v>
      </c>
      <c r="C185" s="44">
        <v>121603742056</v>
      </c>
    </row>
    <row r="186" spans="1:3" x14ac:dyDescent="0.25">
      <c r="A186" s="42" t="s">
        <v>1254</v>
      </c>
      <c r="B186" s="43" t="s">
        <v>1255</v>
      </c>
      <c r="C186" s="44">
        <v>2129013916</v>
      </c>
    </row>
    <row r="187" spans="1:3" x14ac:dyDescent="0.25">
      <c r="A187" s="42" t="s">
        <v>1256</v>
      </c>
      <c r="B187" s="43" t="s">
        <v>1257</v>
      </c>
      <c r="C187" s="44">
        <v>165012326342</v>
      </c>
    </row>
    <row r="188" spans="1:3" x14ac:dyDescent="0.25">
      <c r="A188" s="42" t="s">
        <v>1258</v>
      </c>
      <c r="B188" s="43" t="s">
        <v>1259</v>
      </c>
      <c r="C188" s="44">
        <v>7705424509</v>
      </c>
    </row>
    <row r="189" spans="1:3" x14ac:dyDescent="0.25">
      <c r="A189" s="42" t="s">
        <v>1260</v>
      </c>
      <c r="B189" s="43" t="s">
        <v>1261</v>
      </c>
      <c r="C189" s="44">
        <v>326482582</v>
      </c>
    </row>
    <row r="190" spans="1:3" x14ac:dyDescent="0.25">
      <c r="A190" s="42" t="s">
        <v>1262</v>
      </c>
      <c r="B190" s="43" t="s">
        <v>1263</v>
      </c>
      <c r="C190" s="44">
        <v>7743210561</v>
      </c>
    </row>
    <row r="191" spans="1:3" x14ac:dyDescent="0.25">
      <c r="A191" s="42" t="s">
        <v>1264</v>
      </c>
      <c r="B191" s="43" t="s">
        <v>1265</v>
      </c>
      <c r="C191" s="44">
        <v>7722753969</v>
      </c>
    </row>
    <row r="192" spans="1:3" x14ac:dyDescent="0.25">
      <c r="A192" s="42" t="s">
        <v>1266</v>
      </c>
      <c r="B192" s="43" t="s">
        <v>1267</v>
      </c>
      <c r="C192" s="44">
        <v>7710353606</v>
      </c>
    </row>
    <row r="193" spans="1:3" x14ac:dyDescent="0.25">
      <c r="A193" s="42" t="s">
        <v>1268</v>
      </c>
      <c r="B193" s="43" t="s">
        <v>1269</v>
      </c>
      <c r="C193" s="44">
        <v>7702070139</v>
      </c>
    </row>
    <row r="194" spans="1:3" x14ac:dyDescent="0.25">
      <c r="A194" s="42" t="s">
        <v>1270</v>
      </c>
      <c r="B194" s="43" t="s">
        <v>1271</v>
      </c>
      <c r="C194" s="44">
        <v>7708683999</v>
      </c>
    </row>
    <row r="195" spans="1:3" x14ac:dyDescent="0.25">
      <c r="A195" s="42" t="s">
        <v>1272</v>
      </c>
      <c r="B195" s="43" t="s">
        <v>1273</v>
      </c>
      <c r="C195" s="44">
        <v>9701099668</v>
      </c>
    </row>
    <row r="196" spans="1:3" x14ac:dyDescent="0.25">
      <c r="A196" s="42" t="s">
        <v>1274</v>
      </c>
      <c r="B196" s="43" t="s">
        <v>1275</v>
      </c>
      <c r="C196" s="44">
        <v>7713076301</v>
      </c>
    </row>
    <row r="197" spans="1:3" x14ac:dyDescent="0.25">
      <c r="A197" s="42" t="s">
        <v>1276</v>
      </c>
      <c r="B197" s="43" t="s">
        <v>1277</v>
      </c>
      <c r="C197" s="44">
        <v>6166081929</v>
      </c>
    </row>
    <row r="198" spans="1:3" x14ac:dyDescent="0.25">
      <c r="A198" s="42" t="s">
        <v>1278</v>
      </c>
      <c r="B198" s="43" t="s">
        <v>1279</v>
      </c>
      <c r="C198" s="44">
        <v>6164221031</v>
      </c>
    </row>
    <row r="199" spans="1:3" x14ac:dyDescent="0.25">
      <c r="A199" s="42" t="s">
        <v>1280</v>
      </c>
      <c r="B199" s="43" t="s">
        <v>1281</v>
      </c>
      <c r="C199" s="44">
        <v>1650288518</v>
      </c>
    </row>
    <row r="200" spans="1:3" x14ac:dyDescent="0.25">
      <c r="A200" s="42" t="s">
        <v>1282</v>
      </c>
      <c r="B200" s="43" t="s">
        <v>1283</v>
      </c>
      <c r="C200" s="44">
        <v>1647016553</v>
      </c>
    </row>
    <row r="201" spans="1:3" x14ac:dyDescent="0.25">
      <c r="A201" s="42" t="s">
        <v>1284</v>
      </c>
      <c r="B201" s="43" t="s">
        <v>1285</v>
      </c>
      <c r="C201" s="44">
        <v>1646023910</v>
      </c>
    </row>
    <row r="202" spans="1:3" x14ac:dyDescent="0.25">
      <c r="A202" s="42" t="s">
        <v>1286</v>
      </c>
      <c r="B202" s="43" t="s">
        <v>1287</v>
      </c>
      <c r="C202" s="44">
        <v>7701814988</v>
      </c>
    </row>
    <row r="203" spans="1:3" x14ac:dyDescent="0.25">
      <c r="A203" s="42" t="s">
        <v>1288</v>
      </c>
      <c r="B203" s="43" t="s">
        <v>1289</v>
      </c>
      <c r="C203" s="44">
        <v>7716807084</v>
      </c>
    </row>
    <row r="204" spans="1:3" x14ac:dyDescent="0.25">
      <c r="A204" s="42" t="s">
        <v>1290</v>
      </c>
      <c r="B204" s="43" t="s">
        <v>1291</v>
      </c>
      <c r="C204" s="44">
        <v>26509624407</v>
      </c>
    </row>
    <row r="205" spans="1:3" x14ac:dyDescent="0.25">
      <c r="A205" s="42" t="s">
        <v>1292</v>
      </c>
      <c r="B205" s="43" t="s">
        <v>1293</v>
      </c>
      <c r="C205" s="44">
        <v>7728781850</v>
      </c>
    </row>
    <row r="206" spans="1:3" x14ac:dyDescent="0.25">
      <c r="A206" s="42" t="s">
        <v>1294</v>
      </c>
      <c r="B206" s="43" t="s">
        <v>1295</v>
      </c>
      <c r="C206" s="44">
        <v>6345009196</v>
      </c>
    </row>
    <row r="207" spans="1:3" x14ac:dyDescent="0.25">
      <c r="A207" s="42" t="s">
        <v>1296</v>
      </c>
      <c r="B207" s="43" t="s">
        <v>1297</v>
      </c>
      <c r="C207" s="44">
        <v>7709769582</v>
      </c>
    </row>
    <row r="208" spans="1:3" x14ac:dyDescent="0.25">
      <c r="A208" s="42" t="s">
        <v>103</v>
      </c>
      <c r="B208" s="43" t="s">
        <v>103</v>
      </c>
      <c r="C208" s="44">
        <v>165607260962</v>
      </c>
    </row>
    <row r="209" spans="1:3" x14ac:dyDescent="0.25">
      <c r="A209" s="42" t="s">
        <v>1298</v>
      </c>
      <c r="B209" s="43" t="s">
        <v>1298</v>
      </c>
      <c r="C209" s="44">
        <v>165504815387</v>
      </c>
    </row>
    <row r="210" spans="1:3" x14ac:dyDescent="0.25">
      <c r="A210" s="42" t="s">
        <v>59</v>
      </c>
      <c r="B210" s="43" t="s">
        <v>59</v>
      </c>
      <c r="C210" s="44">
        <v>165028549418</v>
      </c>
    </row>
    <row r="211" spans="1:3" x14ac:dyDescent="0.25">
      <c r="A211" s="42" t="s">
        <v>1299</v>
      </c>
      <c r="B211" s="43" t="s">
        <v>1299</v>
      </c>
      <c r="C211" s="44">
        <v>165063056856</v>
      </c>
    </row>
    <row r="212" spans="1:3" x14ac:dyDescent="0.25">
      <c r="A212" s="42" t="s">
        <v>1300</v>
      </c>
      <c r="B212" s="43" t="s">
        <v>1300</v>
      </c>
      <c r="C212" s="44">
        <v>165066326684</v>
      </c>
    </row>
    <row r="213" spans="1:3" x14ac:dyDescent="0.25">
      <c r="A213" s="42" t="s">
        <v>1301</v>
      </c>
      <c r="B213" s="43" t="s">
        <v>1301</v>
      </c>
      <c r="C213" s="44">
        <v>165023652997</v>
      </c>
    </row>
    <row r="214" spans="1:3" x14ac:dyDescent="0.25">
      <c r="A214" s="42" t="s">
        <v>1302</v>
      </c>
      <c r="B214" s="43" t="s">
        <v>1302</v>
      </c>
      <c r="C214" s="44">
        <v>165032795712</v>
      </c>
    </row>
    <row r="215" spans="1:3" x14ac:dyDescent="0.25">
      <c r="A215" s="42" t="s">
        <v>1303</v>
      </c>
      <c r="B215" s="43" t="s">
        <v>1303</v>
      </c>
      <c r="C215" s="44">
        <v>165060685158</v>
      </c>
    </row>
    <row r="216" spans="1:3" x14ac:dyDescent="0.25">
      <c r="A216" s="42" t="s">
        <v>1304</v>
      </c>
      <c r="B216" s="43" t="s">
        <v>1304</v>
      </c>
      <c r="C216" s="44">
        <v>860400467720</v>
      </c>
    </row>
    <row r="217" spans="1:3" x14ac:dyDescent="0.25">
      <c r="A217" s="42" t="s">
        <v>1305</v>
      </c>
      <c r="B217" s="43" t="s">
        <v>1306</v>
      </c>
      <c r="C217" s="44"/>
    </row>
    <row r="218" spans="1:3" x14ac:dyDescent="0.25">
      <c r="A218" s="42" t="s">
        <v>1307</v>
      </c>
      <c r="B218" s="43" t="s">
        <v>1308</v>
      </c>
      <c r="C218" s="44">
        <v>163902556402</v>
      </c>
    </row>
    <row r="219" spans="1:3" x14ac:dyDescent="0.25">
      <c r="A219" s="42" t="s">
        <v>1309</v>
      </c>
      <c r="B219" s="43" t="s">
        <v>1310</v>
      </c>
      <c r="C219" s="44">
        <v>7816634050</v>
      </c>
    </row>
    <row r="220" spans="1:3" x14ac:dyDescent="0.25">
      <c r="A220" s="42" t="s">
        <v>1311</v>
      </c>
      <c r="B220" s="43" t="s">
        <v>1312</v>
      </c>
      <c r="C220" s="44">
        <v>7842148748</v>
      </c>
    </row>
    <row r="221" spans="1:3" x14ac:dyDescent="0.25">
      <c r="A221" s="42" t="s">
        <v>1313</v>
      </c>
      <c r="B221" s="43" t="s">
        <v>1314</v>
      </c>
      <c r="C221" s="44">
        <v>1660032868</v>
      </c>
    </row>
    <row r="222" spans="1:3" x14ac:dyDescent="0.25">
      <c r="A222" s="42" t="s">
        <v>1315</v>
      </c>
      <c r="B222" s="43" t="s">
        <v>1316</v>
      </c>
      <c r="C222" s="44">
        <v>7706450999</v>
      </c>
    </row>
    <row r="223" spans="1:3" x14ac:dyDescent="0.25">
      <c r="A223" s="42" t="s">
        <v>1317</v>
      </c>
      <c r="B223" s="43" t="s">
        <v>1318</v>
      </c>
      <c r="C223" s="44">
        <v>7710494607</v>
      </c>
    </row>
    <row r="224" spans="1:3" x14ac:dyDescent="0.25">
      <c r="A224" s="42" t="s">
        <v>1319</v>
      </c>
      <c r="B224" s="43" t="s">
        <v>1320</v>
      </c>
      <c r="C224" s="44">
        <v>7733012754</v>
      </c>
    </row>
    <row r="225" spans="1:3" x14ac:dyDescent="0.25">
      <c r="A225" s="42" t="s">
        <v>1321</v>
      </c>
      <c r="B225" s="43" t="s">
        <v>1321</v>
      </c>
      <c r="C225" s="44">
        <v>165917825411</v>
      </c>
    </row>
    <row r="226" spans="1:3" x14ac:dyDescent="0.25">
      <c r="A226" s="42" t="s">
        <v>1322</v>
      </c>
      <c r="B226" s="43" t="s">
        <v>1323</v>
      </c>
      <c r="C226" s="44">
        <v>1650109840</v>
      </c>
    </row>
    <row r="227" spans="1:3" x14ac:dyDescent="0.25">
      <c r="A227" s="42" t="s">
        <v>1324</v>
      </c>
      <c r="B227" s="43" t="s">
        <v>1324</v>
      </c>
      <c r="C227" s="44">
        <v>165032981589</v>
      </c>
    </row>
    <row r="228" spans="1:3" x14ac:dyDescent="0.25">
      <c r="A228" s="42" t="s">
        <v>1325</v>
      </c>
      <c r="B228" s="43" t="s">
        <v>1326</v>
      </c>
      <c r="C228" s="44">
        <v>165032981589</v>
      </c>
    </row>
    <row r="229" spans="1:3" x14ac:dyDescent="0.25">
      <c r="A229" s="42" t="s">
        <v>1327</v>
      </c>
      <c r="B229" s="43" t="s">
        <v>1328</v>
      </c>
      <c r="C229" s="44">
        <v>6312023678</v>
      </c>
    </row>
    <row r="230" spans="1:3" x14ac:dyDescent="0.25">
      <c r="A230" s="42" t="s">
        <v>1329</v>
      </c>
      <c r="B230" s="43" t="s">
        <v>1330</v>
      </c>
      <c r="C230" s="44">
        <v>1655107067</v>
      </c>
    </row>
    <row r="231" spans="1:3" x14ac:dyDescent="0.25">
      <c r="A231" s="42" t="s">
        <v>1331</v>
      </c>
      <c r="B231" s="43" t="s">
        <v>1331</v>
      </c>
      <c r="C231" s="44">
        <v>1660075068</v>
      </c>
    </row>
    <row r="232" spans="1:3" x14ac:dyDescent="0.25">
      <c r="A232" s="42" t="s">
        <v>1332</v>
      </c>
      <c r="B232" s="43" t="s">
        <v>1333</v>
      </c>
      <c r="C232" s="44">
        <v>890107192960</v>
      </c>
    </row>
    <row r="233" spans="1:3" x14ac:dyDescent="0.25">
      <c r="A233" s="42" t="s">
        <v>1334</v>
      </c>
      <c r="B233" s="43" t="s">
        <v>1335</v>
      </c>
      <c r="C233" s="44">
        <v>7727339720</v>
      </c>
    </row>
    <row r="234" spans="1:3" x14ac:dyDescent="0.25">
      <c r="A234" s="42" t="s">
        <v>1336</v>
      </c>
      <c r="B234" s="43" t="s">
        <v>1337</v>
      </c>
      <c r="C234" s="44">
        <v>7802523551</v>
      </c>
    </row>
    <row r="235" spans="1:3" x14ac:dyDescent="0.25">
      <c r="A235" s="42" t="s">
        <v>1338</v>
      </c>
      <c r="B235" s="43" t="s">
        <v>1339</v>
      </c>
      <c r="C235" s="44">
        <v>1660013417</v>
      </c>
    </row>
    <row r="236" spans="1:3" x14ac:dyDescent="0.25">
      <c r="A236" s="42" t="s">
        <v>1340</v>
      </c>
      <c r="B236" s="43" t="s">
        <v>1341</v>
      </c>
      <c r="C236" s="44">
        <v>1660013417</v>
      </c>
    </row>
    <row r="237" spans="1:3" x14ac:dyDescent="0.25">
      <c r="A237" s="42" t="s">
        <v>1342</v>
      </c>
      <c r="B237" s="43" t="s">
        <v>1342</v>
      </c>
      <c r="C237" s="44">
        <v>165033740000</v>
      </c>
    </row>
    <row r="238" spans="1:3" x14ac:dyDescent="0.25">
      <c r="A238" s="42" t="s">
        <v>1343</v>
      </c>
      <c r="B238" s="43" t="s">
        <v>1344</v>
      </c>
      <c r="C238" s="44">
        <v>7806155468</v>
      </c>
    </row>
    <row r="239" spans="1:3" x14ac:dyDescent="0.25">
      <c r="A239" s="42" t="s">
        <v>1345</v>
      </c>
      <c r="B239" s="43" t="s">
        <v>1346</v>
      </c>
      <c r="C239" s="44">
        <v>1657054413</v>
      </c>
    </row>
    <row r="240" spans="1:3" x14ac:dyDescent="0.25">
      <c r="A240" s="42" t="s">
        <v>1347</v>
      </c>
      <c r="B240" s="43" t="s">
        <v>1348</v>
      </c>
      <c r="C240" s="44">
        <v>3305794160</v>
      </c>
    </row>
    <row r="241" spans="1:3" x14ac:dyDescent="0.25">
      <c r="A241" s="42" t="s">
        <v>1349</v>
      </c>
      <c r="B241" s="43" t="s">
        <v>1350</v>
      </c>
      <c r="C241" s="44">
        <v>7705445700</v>
      </c>
    </row>
    <row r="242" spans="1:3" x14ac:dyDescent="0.25">
      <c r="A242" s="42" t="s">
        <v>1351</v>
      </c>
      <c r="B242" s="43" t="s">
        <v>1352</v>
      </c>
      <c r="C242" s="44">
        <v>1655230261</v>
      </c>
    </row>
    <row r="243" spans="1:3" x14ac:dyDescent="0.25">
      <c r="A243" s="42" t="s">
        <v>1353</v>
      </c>
      <c r="B243" s="43" t="s">
        <v>1353</v>
      </c>
      <c r="C243" s="44">
        <v>504903691007</v>
      </c>
    </row>
    <row r="244" spans="1:3" x14ac:dyDescent="0.25">
      <c r="A244" s="42" t="s">
        <v>1354</v>
      </c>
      <c r="B244" s="43" t="s">
        <v>1355</v>
      </c>
      <c r="C244" s="44"/>
    </row>
    <row r="245" spans="1:3" x14ac:dyDescent="0.25">
      <c r="A245" s="42" t="s">
        <v>1356</v>
      </c>
      <c r="B245" s="43" t="s">
        <v>1357</v>
      </c>
      <c r="C245" s="44">
        <v>3917014803</v>
      </c>
    </row>
    <row r="246" spans="1:3" x14ac:dyDescent="0.25">
      <c r="A246" s="42" t="s">
        <v>1358</v>
      </c>
      <c r="B246" s="43" t="s">
        <v>1359</v>
      </c>
      <c r="C246" s="44">
        <v>7839059897</v>
      </c>
    </row>
    <row r="247" spans="1:3" x14ac:dyDescent="0.25">
      <c r="A247" s="42" t="s">
        <v>1360</v>
      </c>
      <c r="B247" s="43" t="s">
        <v>1361</v>
      </c>
      <c r="C247" s="44">
        <v>507702400038</v>
      </c>
    </row>
    <row r="248" spans="1:3" x14ac:dyDescent="0.25">
      <c r="A248" s="42" t="s">
        <v>1362</v>
      </c>
      <c r="B248" s="43" t="s">
        <v>1362</v>
      </c>
      <c r="C248" s="44">
        <v>720408264587</v>
      </c>
    </row>
    <row r="249" spans="1:3" x14ac:dyDescent="0.25">
      <c r="A249" s="42" t="s">
        <v>1363</v>
      </c>
      <c r="B249" s="43" t="s">
        <v>1364</v>
      </c>
      <c r="C249" s="44">
        <v>165036032817</v>
      </c>
    </row>
    <row r="250" spans="1:3" x14ac:dyDescent="0.25">
      <c r="A250" s="42" t="s">
        <v>1365</v>
      </c>
      <c r="B250" s="43" t="s">
        <v>1366</v>
      </c>
      <c r="C250" s="44">
        <v>1657144138</v>
      </c>
    </row>
    <row r="251" spans="1:3" x14ac:dyDescent="0.25">
      <c r="A251" s="42" t="s">
        <v>1367</v>
      </c>
      <c r="B251" s="43" t="s">
        <v>1368</v>
      </c>
      <c r="C251" s="44">
        <v>1434031363</v>
      </c>
    </row>
    <row r="252" spans="1:3" x14ac:dyDescent="0.25">
      <c r="A252" s="42" t="s">
        <v>1369</v>
      </c>
      <c r="B252" s="43" t="s">
        <v>1369</v>
      </c>
      <c r="C252" s="44">
        <v>165130801756</v>
      </c>
    </row>
    <row r="253" spans="1:3" x14ac:dyDescent="0.25">
      <c r="A253" s="42" t="s">
        <v>1370</v>
      </c>
      <c r="B253" s="43" t="s">
        <v>1371</v>
      </c>
      <c r="C253" s="44">
        <v>165813649610</v>
      </c>
    </row>
    <row r="254" spans="1:3" x14ac:dyDescent="0.25">
      <c r="A254" s="42" t="s">
        <v>1372</v>
      </c>
      <c r="B254" s="43" t="s">
        <v>1373</v>
      </c>
      <c r="C254" s="44">
        <v>5017050538</v>
      </c>
    </row>
    <row r="255" spans="1:3" x14ac:dyDescent="0.25">
      <c r="A255" s="42" t="s">
        <v>1374</v>
      </c>
      <c r="B255" s="43" t="s">
        <v>1375</v>
      </c>
      <c r="C255" s="44">
        <v>165813649306</v>
      </c>
    </row>
    <row r="256" spans="1:3" x14ac:dyDescent="0.25">
      <c r="A256" s="42" t="s">
        <v>1376</v>
      </c>
      <c r="B256" s="43" t="s">
        <v>1377</v>
      </c>
      <c r="C256" s="44">
        <v>6317117680</v>
      </c>
    </row>
    <row r="257" spans="1:3" x14ac:dyDescent="0.25">
      <c r="A257" s="42" t="s">
        <v>1378</v>
      </c>
      <c r="B257" s="43" t="s">
        <v>1379</v>
      </c>
      <c r="C257" s="44">
        <v>1644004905</v>
      </c>
    </row>
    <row r="258" spans="1:3" x14ac:dyDescent="0.25">
      <c r="A258" s="42" t="s">
        <v>1380</v>
      </c>
      <c r="B258" s="43" t="s">
        <v>1381</v>
      </c>
      <c r="C258" s="44">
        <v>6453157201</v>
      </c>
    </row>
    <row r="259" spans="1:3" x14ac:dyDescent="0.25">
      <c r="A259" s="42" t="s">
        <v>1382</v>
      </c>
      <c r="B259" s="43" t="s">
        <v>1383</v>
      </c>
      <c r="C259" s="44">
        <v>7826156685</v>
      </c>
    </row>
    <row r="260" spans="1:3" x14ac:dyDescent="0.25">
      <c r="A260" s="42" t="s">
        <v>1384</v>
      </c>
      <c r="B260" s="43" t="s">
        <v>1385</v>
      </c>
      <c r="C260" s="44">
        <v>5258138740</v>
      </c>
    </row>
    <row r="261" spans="1:3" x14ac:dyDescent="0.25">
      <c r="A261" s="42" t="s">
        <v>1386</v>
      </c>
      <c r="B261" s="43" t="s">
        <v>1387</v>
      </c>
      <c r="C261" s="44">
        <v>5024167390</v>
      </c>
    </row>
    <row r="262" spans="1:3" x14ac:dyDescent="0.25">
      <c r="A262" s="42" t="s">
        <v>1388</v>
      </c>
      <c r="B262" s="43" t="s">
        <v>1389</v>
      </c>
      <c r="C262" s="44">
        <v>5024096727</v>
      </c>
    </row>
    <row r="263" spans="1:3" x14ac:dyDescent="0.25">
      <c r="A263" s="42" t="s">
        <v>1390</v>
      </c>
      <c r="B263" s="43" t="s">
        <v>1391</v>
      </c>
      <c r="C263" s="44">
        <v>1651071243</v>
      </c>
    </row>
    <row r="264" spans="1:3" x14ac:dyDescent="0.25">
      <c r="A264" s="42" t="s">
        <v>1392</v>
      </c>
      <c r="B264" s="43" t="s">
        <v>1393</v>
      </c>
      <c r="C264" s="44">
        <v>1659095609</v>
      </c>
    </row>
    <row r="265" spans="1:3" x14ac:dyDescent="0.25">
      <c r="A265" s="42" t="s">
        <v>1394</v>
      </c>
      <c r="B265" s="43" t="s">
        <v>1395</v>
      </c>
      <c r="C265" s="44">
        <v>7703636314</v>
      </c>
    </row>
    <row r="266" spans="1:3" x14ac:dyDescent="0.25">
      <c r="A266" s="42" t="s">
        <v>1396</v>
      </c>
      <c r="B266" s="43" t="s">
        <v>1397</v>
      </c>
      <c r="C266" s="44">
        <v>7705574092</v>
      </c>
    </row>
    <row r="267" spans="1:3" x14ac:dyDescent="0.25">
      <c r="A267" s="42" t="s">
        <v>1398</v>
      </c>
      <c r="B267" s="43" t="s">
        <v>1399</v>
      </c>
      <c r="C267" s="44">
        <v>1655044410</v>
      </c>
    </row>
    <row r="268" spans="1:3" x14ac:dyDescent="0.25">
      <c r="A268" s="42" t="s">
        <v>1400</v>
      </c>
      <c r="B268" s="43" t="s">
        <v>1401</v>
      </c>
      <c r="C268" s="44">
        <v>1657192565</v>
      </c>
    </row>
    <row r="269" spans="1:3" x14ac:dyDescent="0.25">
      <c r="A269" s="42" t="s">
        <v>1402</v>
      </c>
      <c r="B269" s="43" t="s">
        <v>1403</v>
      </c>
      <c r="C269" s="44">
        <v>7819013502</v>
      </c>
    </row>
    <row r="270" spans="1:3" x14ac:dyDescent="0.25">
      <c r="A270" s="42" t="s">
        <v>1404</v>
      </c>
      <c r="B270" s="43" t="s">
        <v>1404</v>
      </c>
      <c r="C270" s="44">
        <v>382000699102</v>
      </c>
    </row>
    <row r="271" spans="1:3" x14ac:dyDescent="0.25">
      <c r="A271" s="42" t="s">
        <v>1405</v>
      </c>
      <c r="B271" s="43" t="s">
        <v>1405</v>
      </c>
      <c r="C271" s="44">
        <v>166019605562</v>
      </c>
    </row>
    <row r="272" spans="1:3" x14ac:dyDescent="0.25">
      <c r="A272" s="42" t="s">
        <v>1406</v>
      </c>
      <c r="B272" s="43" t="s">
        <v>1407</v>
      </c>
      <c r="C272" s="44">
        <v>5902855878</v>
      </c>
    </row>
    <row r="273" spans="1:3" x14ac:dyDescent="0.25">
      <c r="A273" s="42" t="s">
        <v>1408</v>
      </c>
      <c r="B273" s="43" t="s">
        <v>1409</v>
      </c>
      <c r="C273" s="44">
        <v>6658523071</v>
      </c>
    </row>
    <row r="274" spans="1:3" x14ac:dyDescent="0.25">
      <c r="A274" s="42" t="s">
        <v>1410</v>
      </c>
      <c r="B274" s="43" t="s">
        <v>1410</v>
      </c>
      <c r="C274" s="44">
        <v>2540167061</v>
      </c>
    </row>
    <row r="275" spans="1:3" x14ac:dyDescent="0.25">
      <c r="A275" s="42" t="s">
        <v>1411</v>
      </c>
      <c r="B275" s="43" t="s">
        <v>1411</v>
      </c>
      <c r="C275" s="44">
        <v>31400477102</v>
      </c>
    </row>
    <row r="276" spans="1:3" x14ac:dyDescent="0.25">
      <c r="A276" s="42" t="s">
        <v>1412</v>
      </c>
      <c r="B276" s="43" t="s">
        <v>1413</v>
      </c>
      <c r="C276" s="44">
        <v>165807698200</v>
      </c>
    </row>
    <row r="277" spans="1:3" x14ac:dyDescent="0.25">
      <c r="A277" s="42" t="s">
        <v>1414</v>
      </c>
      <c r="B277" s="43" t="s">
        <v>1415</v>
      </c>
      <c r="C277" s="44">
        <v>7713215523</v>
      </c>
    </row>
    <row r="278" spans="1:3" x14ac:dyDescent="0.25">
      <c r="A278" s="42" t="s">
        <v>1416</v>
      </c>
      <c r="B278" s="43" t="s">
        <v>1417</v>
      </c>
      <c r="C278" s="44">
        <v>7707033437</v>
      </c>
    </row>
    <row r="279" spans="1:3" x14ac:dyDescent="0.25">
      <c r="A279" s="42" t="s">
        <v>1418</v>
      </c>
      <c r="B279" s="43" t="s">
        <v>1419</v>
      </c>
      <c r="C279" s="44">
        <v>2130187071</v>
      </c>
    </row>
    <row r="280" spans="1:3" x14ac:dyDescent="0.25">
      <c r="A280" s="42" t="s">
        <v>1420</v>
      </c>
      <c r="B280" s="43" t="s">
        <v>1421</v>
      </c>
      <c r="C280" s="44">
        <v>6615001962</v>
      </c>
    </row>
    <row r="281" spans="1:3" x14ac:dyDescent="0.25">
      <c r="A281" s="42" t="s">
        <v>1422</v>
      </c>
      <c r="B281" s="43" t="s">
        <v>1423</v>
      </c>
      <c r="C281" s="44">
        <v>5027214400</v>
      </c>
    </row>
    <row r="282" spans="1:3" x14ac:dyDescent="0.25">
      <c r="A282" s="42" t="s">
        <v>1424</v>
      </c>
      <c r="B282" s="43" t="s">
        <v>1425</v>
      </c>
      <c r="C282" s="44">
        <v>7736588000</v>
      </c>
    </row>
    <row r="283" spans="1:3" x14ac:dyDescent="0.25">
      <c r="A283" s="42" t="s">
        <v>1426</v>
      </c>
      <c r="B283" s="43" t="s">
        <v>1427</v>
      </c>
      <c r="C283" s="44">
        <v>7731593655</v>
      </c>
    </row>
    <row r="284" spans="1:3" x14ac:dyDescent="0.25">
      <c r="A284" s="42" t="s">
        <v>1428</v>
      </c>
      <c r="B284" s="43" t="s">
        <v>1429</v>
      </c>
      <c r="C284" s="44">
        <v>278193806</v>
      </c>
    </row>
    <row r="285" spans="1:3" x14ac:dyDescent="0.25">
      <c r="A285" s="42" t="s">
        <v>1430</v>
      </c>
      <c r="B285" s="43" t="s">
        <v>1431</v>
      </c>
      <c r="C285" s="44">
        <v>165711912050</v>
      </c>
    </row>
    <row r="286" spans="1:3" x14ac:dyDescent="0.25">
      <c r="A286" s="42" t="s">
        <v>168</v>
      </c>
      <c r="B286" s="43" t="s">
        <v>168</v>
      </c>
      <c r="C286" s="44">
        <v>165117633774</v>
      </c>
    </row>
    <row r="287" spans="1:3" x14ac:dyDescent="0.25">
      <c r="A287" s="42" t="s">
        <v>1432</v>
      </c>
      <c r="B287" s="43" t="s">
        <v>1433</v>
      </c>
      <c r="C287" s="44">
        <v>7707704692</v>
      </c>
    </row>
    <row r="288" spans="1:3" x14ac:dyDescent="0.25">
      <c r="A288" s="42" t="s">
        <v>1434</v>
      </c>
      <c r="B288" s="43" t="s">
        <v>1435</v>
      </c>
      <c r="C288" s="44"/>
    </row>
    <row r="289" spans="1:3" x14ac:dyDescent="0.25">
      <c r="A289" s="42" t="s">
        <v>1436</v>
      </c>
      <c r="B289" s="43" t="s">
        <v>1437</v>
      </c>
      <c r="C289" s="44">
        <v>7714384860</v>
      </c>
    </row>
    <row r="290" spans="1:3" x14ac:dyDescent="0.25">
      <c r="A290" s="42" t="s">
        <v>1438</v>
      </c>
      <c r="B290" s="43" t="s">
        <v>1439</v>
      </c>
      <c r="C290" s="44">
        <v>5257071073</v>
      </c>
    </row>
    <row r="291" spans="1:3" x14ac:dyDescent="0.25">
      <c r="A291" s="42" t="s">
        <v>1440</v>
      </c>
      <c r="B291" s="43" t="s">
        <v>1441</v>
      </c>
      <c r="C291" s="44">
        <v>7718725461</v>
      </c>
    </row>
    <row r="292" spans="1:3" x14ac:dyDescent="0.25">
      <c r="A292" s="42" t="s">
        <v>1442</v>
      </c>
      <c r="B292" s="43" t="s">
        <v>1443</v>
      </c>
      <c r="C292" s="44">
        <v>1650299830</v>
      </c>
    </row>
    <row r="293" spans="1:3" x14ac:dyDescent="0.25">
      <c r="A293" s="42" t="s">
        <v>1444</v>
      </c>
      <c r="B293" s="43" t="s">
        <v>1445</v>
      </c>
      <c r="C293" s="44">
        <v>121521024946</v>
      </c>
    </row>
    <row r="294" spans="1:3" x14ac:dyDescent="0.25">
      <c r="A294" s="42" t="s">
        <v>1446</v>
      </c>
      <c r="B294" s="43" t="s">
        <v>1447</v>
      </c>
      <c r="C294" s="44">
        <v>1650357200</v>
      </c>
    </row>
    <row r="295" spans="1:3" x14ac:dyDescent="0.25">
      <c r="A295" s="42" t="s">
        <v>1448</v>
      </c>
      <c r="B295" s="43" t="s">
        <v>1449</v>
      </c>
      <c r="C295" s="44">
        <v>165104917095</v>
      </c>
    </row>
    <row r="296" spans="1:3" x14ac:dyDescent="0.25">
      <c r="A296" s="42" t="s">
        <v>1450</v>
      </c>
      <c r="B296" s="43" t="s">
        <v>1451</v>
      </c>
      <c r="C296" s="44">
        <v>5038130664</v>
      </c>
    </row>
    <row r="297" spans="1:3" x14ac:dyDescent="0.25">
      <c r="A297" s="42" t="s">
        <v>1452</v>
      </c>
      <c r="B297" s="43" t="s">
        <v>1453</v>
      </c>
      <c r="C297" s="44">
        <v>1658087524</v>
      </c>
    </row>
    <row r="298" spans="1:3" x14ac:dyDescent="0.25">
      <c r="A298" s="42" t="s">
        <v>672</v>
      </c>
      <c r="B298" s="43" t="s">
        <v>672</v>
      </c>
      <c r="C298" s="44">
        <v>165707402120</v>
      </c>
    </row>
    <row r="299" spans="1:3" x14ac:dyDescent="0.25">
      <c r="A299" s="42" t="s">
        <v>1454</v>
      </c>
      <c r="B299" s="43" t="s">
        <v>1455</v>
      </c>
      <c r="C299" s="44">
        <v>1655293416</v>
      </c>
    </row>
    <row r="300" spans="1:3" x14ac:dyDescent="0.25">
      <c r="A300" s="42" t="s">
        <v>1456</v>
      </c>
      <c r="B300" s="43" t="s">
        <v>1457</v>
      </c>
      <c r="C300" s="44">
        <v>1658200970</v>
      </c>
    </row>
    <row r="301" spans="1:3" x14ac:dyDescent="0.25">
      <c r="A301" s="42" t="s">
        <v>1458</v>
      </c>
      <c r="B301" s="43" t="s">
        <v>1459</v>
      </c>
      <c r="C301" s="44">
        <v>3123361429</v>
      </c>
    </row>
    <row r="302" spans="1:3" x14ac:dyDescent="0.25">
      <c r="A302" s="42" t="s">
        <v>1460</v>
      </c>
      <c r="B302" s="43" t="s">
        <v>1461</v>
      </c>
      <c r="C302" s="44">
        <v>7729405872</v>
      </c>
    </row>
    <row r="303" spans="1:3" x14ac:dyDescent="0.25">
      <c r="A303" s="42" t="s">
        <v>1462</v>
      </c>
      <c r="B303" s="43" t="s">
        <v>1463</v>
      </c>
      <c r="C303" s="44">
        <v>7716835412</v>
      </c>
    </row>
    <row r="304" spans="1:3" x14ac:dyDescent="0.25">
      <c r="A304" s="42" t="s">
        <v>1464</v>
      </c>
      <c r="B304" s="43" t="s">
        <v>1465</v>
      </c>
      <c r="C304" s="44">
        <v>890200564892</v>
      </c>
    </row>
    <row r="305" spans="1:3" x14ac:dyDescent="0.25">
      <c r="A305" s="42" t="s">
        <v>1466</v>
      </c>
      <c r="B305" s="43" t="s">
        <v>1467</v>
      </c>
      <c r="C305" s="44">
        <v>7710280644</v>
      </c>
    </row>
    <row r="306" spans="1:3" x14ac:dyDescent="0.25">
      <c r="A306" s="42" t="s">
        <v>1468</v>
      </c>
      <c r="B306" s="43" t="s">
        <v>1469</v>
      </c>
      <c r="C306" s="44">
        <v>2130109958</v>
      </c>
    </row>
    <row r="307" spans="1:3" x14ac:dyDescent="0.25">
      <c r="A307" s="42" t="s">
        <v>1470</v>
      </c>
      <c r="B307" s="43" t="s">
        <v>1471</v>
      </c>
      <c r="C307" s="44">
        <v>164608407119</v>
      </c>
    </row>
    <row r="308" spans="1:3" x14ac:dyDescent="0.25">
      <c r="A308" s="42" t="s">
        <v>1472</v>
      </c>
      <c r="B308" s="43" t="s">
        <v>1473</v>
      </c>
      <c r="C308" s="44">
        <v>2130200950</v>
      </c>
    </row>
    <row r="309" spans="1:3" x14ac:dyDescent="0.25">
      <c r="A309" s="42" t="s">
        <v>1474</v>
      </c>
      <c r="B309" s="43" t="s">
        <v>1475</v>
      </c>
      <c r="C309" s="44">
        <v>1650281216</v>
      </c>
    </row>
    <row r="310" spans="1:3" x14ac:dyDescent="0.25">
      <c r="A310" s="42" t="s">
        <v>1476</v>
      </c>
      <c r="B310" s="43" t="s">
        <v>1476</v>
      </c>
      <c r="C310" s="44">
        <v>524406278956</v>
      </c>
    </row>
    <row r="311" spans="1:3" x14ac:dyDescent="0.25">
      <c r="A311" s="42" t="s">
        <v>1477</v>
      </c>
      <c r="B311" s="43" t="s">
        <v>1478</v>
      </c>
      <c r="C311" s="44">
        <v>165036437429</v>
      </c>
    </row>
    <row r="312" spans="1:3" x14ac:dyDescent="0.25">
      <c r="A312" s="42" t="s">
        <v>1479</v>
      </c>
      <c r="B312" s="43" t="s">
        <v>1479</v>
      </c>
      <c r="C312" s="44">
        <v>31400832420</v>
      </c>
    </row>
    <row r="313" spans="1:3" x14ac:dyDescent="0.25">
      <c r="A313" s="42" t="s">
        <v>1480</v>
      </c>
      <c r="B313" s="43" t="s">
        <v>1481</v>
      </c>
      <c r="C313" s="44">
        <v>1831146931</v>
      </c>
    </row>
    <row r="314" spans="1:3" x14ac:dyDescent="0.25">
      <c r="A314" s="42" t="s">
        <v>1482</v>
      </c>
      <c r="B314" s="43" t="s">
        <v>1483</v>
      </c>
      <c r="C314" s="44">
        <v>1808204247</v>
      </c>
    </row>
    <row r="315" spans="1:3" x14ac:dyDescent="0.25">
      <c r="A315" s="42" t="s">
        <v>1484</v>
      </c>
      <c r="B315" s="43" t="s">
        <v>1484</v>
      </c>
      <c r="C315" s="44">
        <v>31465528210</v>
      </c>
    </row>
    <row r="316" spans="1:3" x14ac:dyDescent="0.25">
      <c r="A316" s="42" t="s">
        <v>1485</v>
      </c>
      <c r="B316" s="43" t="s">
        <v>1486</v>
      </c>
      <c r="C316" s="44">
        <v>7722667131</v>
      </c>
    </row>
    <row r="317" spans="1:3" x14ac:dyDescent="0.25">
      <c r="A317" s="42" t="s">
        <v>1487</v>
      </c>
      <c r="B317" s="43" t="s">
        <v>1488</v>
      </c>
      <c r="C317" s="44">
        <v>5254016204</v>
      </c>
    </row>
    <row r="318" spans="1:3" x14ac:dyDescent="0.25">
      <c r="A318" s="42" t="s">
        <v>1489</v>
      </c>
      <c r="B318" s="43" t="s">
        <v>1490</v>
      </c>
      <c r="C318" s="44">
        <v>5047076050</v>
      </c>
    </row>
    <row r="319" spans="1:3" x14ac:dyDescent="0.25">
      <c r="A319" s="42" t="s">
        <v>1491</v>
      </c>
      <c r="B319" s="43" t="s">
        <v>1492</v>
      </c>
      <c r="C319" s="44">
        <v>165041295610</v>
      </c>
    </row>
    <row r="320" spans="1:3" x14ac:dyDescent="0.25">
      <c r="A320" s="42" t="s">
        <v>1493</v>
      </c>
      <c r="B320" s="43" t="s">
        <v>1494</v>
      </c>
      <c r="C320" s="44">
        <v>7724682696</v>
      </c>
    </row>
    <row r="321" spans="1:3" x14ac:dyDescent="0.25">
      <c r="A321" s="42" t="s">
        <v>1495</v>
      </c>
      <c r="B321" s="43" t="s">
        <v>1496</v>
      </c>
      <c r="C321" s="44">
        <v>7734682230</v>
      </c>
    </row>
    <row r="322" spans="1:3" x14ac:dyDescent="0.25">
      <c r="A322" s="42" t="s">
        <v>1497</v>
      </c>
      <c r="B322" s="43" t="s">
        <v>1498</v>
      </c>
      <c r="C322" s="44">
        <v>1650091053</v>
      </c>
    </row>
    <row r="323" spans="1:3" x14ac:dyDescent="0.25">
      <c r="A323" s="42" t="s">
        <v>1499</v>
      </c>
      <c r="B323" s="43" t="s">
        <v>1500</v>
      </c>
      <c r="C323" s="44">
        <v>7802124356</v>
      </c>
    </row>
    <row r="324" spans="1:3" x14ac:dyDescent="0.25">
      <c r="A324" s="42" t="s">
        <v>1501</v>
      </c>
      <c r="B324" s="43" t="s">
        <v>1502</v>
      </c>
      <c r="C324" s="44">
        <v>1207020301</v>
      </c>
    </row>
    <row r="325" spans="1:3" x14ac:dyDescent="0.25">
      <c r="A325" s="42" t="s">
        <v>1503</v>
      </c>
      <c r="B325" s="43" t="s">
        <v>1502</v>
      </c>
      <c r="C325" s="44">
        <v>1655433381</v>
      </c>
    </row>
    <row r="326" spans="1:3" x14ac:dyDescent="0.25">
      <c r="A326" s="42" t="s">
        <v>1504</v>
      </c>
      <c r="B326" s="43" t="s">
        <v>1505</v>
      </c>
      <c r="C326" s="44">
        <v>7703642903</v>
      </c>
    </row>
    <row r="327" spans="1:3" x14ac:dyDescent="0.25">
      <c r="A327" s="42" t="s">
        <v>1506</v>
      </c>
      <c r="B327" s="43" t="s">
        <v>1507</v>
      </c>
      <c r="C327" s="44">
        <v>7704784450</v>
      </c>
    </row>
    <row r="328" spans="1:3" x14ac:dyDescent="0.25">
      <c r="A328" s="42" t="s">
        <v>1508</v>
      </c>
      <c r="B328" s="43" t="s">
        <v>1509</v>
      </c>
      <c r="C328" s="44">
        <v>1650239895</v>
      </c>
    </row>
    <row r="329" spans="1:3" x14ac:dyDescent="0.25">
      <c r="A329" s="42" t="s">
        <v>1510</v>
      </c>
      <c r="B329" s="43" t="s">
        <v>1511</v>
      </c>
      <c r="C329" s="44">
        <v>7710137066</v>
      </c>
    </row>
    <row r="330" spans="1:3" x14ac:dyDescent="0.25">
      <c r="A330" s="42" t="s">
        <v>1512</v>
      </c>
      <c r="B330" s="43" t="s">
        <v>1513</v>
      </c>
      <c r="C330" s="44">
        <v>7701945042</v>
      </c>
    </row>
    <row r="331" spans="1:3" x14ac:dyDescent="0.25">
      <c r="A331" s="42" t="s">
        <v>1514</v>
      </c>
      <c r="B331" s="43" t="s">
        <v>1515</v>
      </c>
      <c r="C331" s="44">
        <v>6315630208</v>
      </c>
    </row>
    <row r="332" spans="1:3" x14ac:dyDescent="0.25">
      <c r="A332" s="42" t="s">
        <v>1516</v>
      </c>
      <c r="B332" s="43" t="s">
        <v>1517</v>
      </c>
      <c r="C332" s="44">
        <v>4346050919</v>
      </c>
    </row>
    <row r="333" spans="1:3" x14ac:dyDescent="0.25">
      <c r="A333" s="42" t="s">
        <v>1518</v>
      </c>
      <c r="B333" s="43" t="s">
        <v>1519</v>
      </c>
      <c r="C333" s="44">
        <v>7802755873</v>
      </c>
    </row>
    <row r="334" spans="1:3" x14ac:dyDescent="0.25">
      <c r="A334" s="42" t="s">
        <v>1520</v>
      </c>
      <c r="B334" s="43" t="s">
        <v>1521</v>
      </c>
      <c r="C334" s="44">
        <v>1650187894</v>
      </c>
    </row>
    <row r="335" spans="1:3" x14ac:dyDescent="0.25">
      <c r="A335" s="42" t="s">
        <v>1522</v>
      </c>
      <c r="B335" s="43" t="s">
        <v>1523</v>
      </c>
      <c r="C335" s="44">
        <v>3800000220</v>
      </c>
    </row>
    <row r="336" spans="1:3" x14ac:dyDescent="0.25">
      <c r="A336" s="42" t="s">
        <v>1524</v>
      </c>
      <c r="B336" s="43" t="s">
        <v>1525</v>
      </c>
      <c r="C336" s="44">
        <v>3811072717</v>
      </c>
    </row>
    <row r="337" spans="1:3" x14ac:dyDescent="0.25">
      <c r="A337" s="42" t="s">
        <v>1526</v>
      </c>
      <c r="B337" s="43" t="s">
        <v>1527</v>
      </c>
      <c r="C337" s="44">
        <v>3811469790</v>
      </c>
    </row>
    <row r="338" spans="1:3" x14ac:dyDescent="0.25">
      <c r="A338" s="42" t="s">
        <v>198</v>
      </c>
      <c r="B338" s="43" t="s">
        <v>198</v>
      </c>
      <c r="C338" s="44">
        <v>165050048618</v>
      </c>
    </row>
    <row r="339" spans="1:3" x14ac:dyDescent="0.25">
      <c r="A339" s="42" t="s">
        <v>1528</v>
      </c>
      <c r="B339" s="43" t="s">
        <v>1529</v>
      </c>
      <c r="C339" s="44">
        <v>1655191213</v>
      </c>
    </row>
    <row r="340" spans="1:3" x14ac:dyDescent="0.25">
      <c r="A340" s="42" t="s">
        <v>1530</v>
      </c>
      <c r="B340" s="43" t="s">
        <v>1530</v>
      </c>
      <c r="C340" s="44">
        <v>7728285019</v>
      </c>
    </row>
    <row r="341" spans="1:3" x14ac:dyDescent="0.25">
      <c r="A341" s="42" t="s">
        <v>1531</v>
      </c>
      <c r="B341" s="43" t="s">
        <v>1532</v>
      </c>
      <c r="C341" s="44">
        <v>7703431363</v>
      </c>
    </row>
    <row r="342" spans="1:3" x14ac:dyDescent="0.25">
      <c r="A342" s="42" t="s">
        <v>1533</v>
      </c>
      <c r="B342" s="43" t="s">
        <v>1534</v>
      </c>
      <c r="C342" s="44">
        <v>1644057865</v>
      </c>
    </row>
    <row r="343" spans="1:3" x14ac:dyDescent="0.25">
      <c r="A343" s="42" t="s">
        <v>1535</v>
      </c>
      <c r="B343" s="43" t="s">
        <v>1536</v>
      </c>
      <c r="C343" s="44">
        <v>1655296223</v>
      </c>
    </row>
    <row r="344" spans="1:3" x14ac:dyDescent="0.25">
      <c r="A344" s="42" t="s">
        <v>1537</v>
      </c>
      <c r="B344" s="43" t="s">
        <v>1538</v>
      </c>
      <c r="C344" s="44">
        <v>1655189422</v>
      </c>
    </row>
    <row r="345" spans="1:3" x14ac:dyDescent="0.25">
      <c r="A345" s="42" t="s">
        <v>1539</v>
      </c>
      <c r="B345" s="43" t="s">
        <v>1540</v>
      </c>
      <c r="C345" s="44">
        <v>1656025681</v>
      </c>
    </row>
    <row r="346" spans="1:3" x14ac:dyDescent="0.25">
      <c r="A346" s="42" t="s">
        <v>1541</v>
      </c>
      <c r="B346" s="43" t="s">
        <v>1542</v>
      </c>
      <c r="C346" s="44">
        <v>1656019286</v>
      </c>
    </row>
    <row r="347" spans="1:3" x14ac:dyDescent="0.25">
      <c r="A347" s="42" t="s">
        <v>1543</v>
      </c>
      <c r="B347" s="43" t="s">
        <v>1543</v>
      </c>
      <c r="C347" s="44">
        <v>1654020511</v>
      </c>
    </row>
    <row r="348" spans="1:3" x14ac:dyDescent="0.25">
      <c r="A348" s="42" t="s">
        <v>1544</v>
      </c>
      <c r="B348" s="43" t="s">
        <v>1544</v>
      </c>
      <c r="C348" s="44">
        <v>7721045804</v>
      </c>
    </row>
    <row r="349" spans="1:3" x14ac:dyDescent="0.25">
      <c r="A349" s="42" t="s">
        <v>1545</v>
      </c>
      <c r="B349" s="43" t="s">
        <v>1546</v>
      </c>
      <c r="C349" s="44">
        <v>1659000460</v>
      </c>
    </row>
    <row r="350" spans="1:3" x14ac:dyDescent="0.25">
      <c r="A350" s="42" t="s">
        <v>1547</v>
      </c>
      <c r="B350" s="43" t="s">
        <v>1548</v>
      </c>
      <c r="C350" s="44">
        <v>1660246387</v>
      </c>
    </row>
    <row r="351" spans="1:3" x14ac:dyDescent="0.25">
      <c r="A351" s="42" t="s">
        <v>1549</v>
      </c>
      <c r="B351" s="43" t="s">
        <v>1550</v>
      </c>
      <c r="C351" s="44"/>
    </row>
    <row r="352" spans="1:3" x14ac:dyDescent="0.25">
      <c r="A352" s="42" t="s">
        <v>1551</v>
      </c>
      <c r="B352" s="43" t="s">
        <v>1552</v>
      </c>
      <c r="C352" s="44"/>
    </row>
    <row r="353" spans="1:3" x14ac:dyDescent="0.25">
      <c r="A353" s="42" t="s">
        <v>1553</v>
      </c>
      <c r="B353" s="43" t="s">
        <v>1554</v>
      </c>
      <c r="C353" s="44">
        <v>1661060184</v>
      </c>
    </row>
    <row r="354" spans="1:3" x14ac:dyDescent="0.25">
      <c r="A354" s="42" t="s">
        <v>1555</v>
      </c>
      <c r="B354" s="43" t="s">
        <v>1556</v>
      </c>
      <c r="C354" s="44">
        <v>165049596049</v>
      </c>
    </row>
    <row r="355" spans="1:3" x14ac:dyDescent="0.25">
      <c r="A355" s="42" t="s">
        <v>1557</v>
      </c>
      <c r="B355" s="43" t="s">
        <v>1558</v>
      </c>
      <c r="C355" s="44">
        <v>5904007707</v>
      </c>
    </row>
    <row r="356" spans="1:3" x14ac:dyDescent="0.25">
      <c r="A356" s="42" t="s">
        <v>1559</v>
      </c>
      <c r="B356" s="43" t="s">
        <v>1560</v>
      </c>
      <c r="C356" s="44">
        <v>1660272147</v>
      </c>
    </row>
    <row r="357" spans="1:3" x14ac:dyDescent="0.25">
      <c r="A357" s="42" t="s">
        <v>1561</v>
      </c>
      <c r="B357" s="43" t="s">
        <v>1562</v>
      </c>
      <c r="C357" s="44">
        <v>1650157635</v>
      </c>
    </row>
    <row r="358" spans="1:3" x14ac:dyDescent="0.25">
      <c r="A358" s="42" t="s">
        <v>1563</v>
      </c>
      <c r="B358" s="43" t="s">
        <v>1564</v>
      </c>
      <c r="C358" s="44">
        <v>1650347636</v>
      </c>
    </row>
    <row r="359" spans="1:3" x14ac:dyDescent="0.25">
      <c r="A359" s="42" t="s">
        <v>1565</v>
      </c>
      <c r="B359" s="43" t="s">
        <v>1566</v>
      </c>
      <c r="C359" s="44">
        <v>1650310315</v>
      </c>
    </row>
    <row r="360" spans="1:3" x14ac:dyDescent="0.25">
      <c r="A360" s="42" t="s">
        <v>1567</v>
      </c>
      <c r="B360" s="43" t="s">
        <v>1568</v>
      </c>
      <c r="C360" s="44">
        <v>1650319484</v>
      </c>
    </row>
    <row r="361" spans="1:3" x14ac:dyDescent="0.25">
      <c r="A361" s="42" t="s">
        <v>1569</v>
      </c>
      <c r="B361" s="43" t="s">
        <v>1570</v>
      </c>
      <c r="C361" s="44">
        <v>5408014785</v>
      </c>
    </row>
    <row r="362" spans="1:3" x14ac:dyDescent="0.25">
      <c r="A362" s="42" t="s">
        <v>1571</v>
      </c>
      <c r="B362" s="43" t="s">
        <v>1572</v>
      </c>
      <c r="C362" s="44">
        <v>1650328626</v>
      </c>
    </row>
    <row r="363" spans="1:3" x14ac:dyDescent="0.25">
      <c r="A363" s="42" t="s">
        <v>1573</v>
      </c>
      <c r="B363" s="43" t="s">
        <v>1574</v>
      </c>
      <c r="C363" s="44">
        <v>4100000668</v>
      </c>
    </row>
    <row r="364" spans="1:3" x14ac:dyDescent="0.25">
      <c r="A364" s="42" t="s">
        <v>1575</v>
      </c>
      <c r="B364" s="43" t="s">
        <v>1576</v>
      </c>
      <c r="C364" s="44">
        <v>1639021461</v>
      </c>
    </row>
    <row r="365" spans="1:3" x14ac:dyDescent="0.25">
      <c r="A365" s="42" t="s">
        <v>1577</v>
      </c>
      <c r="B365" s="43" t="s">
        <v>1578</v>
      </c>
      <c r="C365" s="44">
        <v>1660261057</v>
      </c>
    </row>
    <row r="366" spans="1:3" x14ac:dyDescent="0.25">
      <c r="A366" s="42" t="s">
        <v>1579</v>
      </c>
      <c r="B366" s="43" t="s">
        <v>1580</v>
      </c>
      <c r="C366" s="44">
        <v>1660277184</v>
      </c>
    </row>
    <row r="367" spans="1:3" x14ac:dyDescent="0.25">
      <c r="A367" s="42" t="s">
        <v>1581</v>
      </c>
      <c r="B367" s="43" t="s">
        <v>1581</v>
      </c>
      <c r="C367" s="44"/>
    </row>
    <row r="368" spans="1:3" x14ac:dyDescent="0.25">
      <c r="A368" s="42" t="s">
        <v>1582</v>
      </c>
      <c r="B368" s="43" t="s">
        <v>1583</v>
      </c>
      <c r="C368" s="44">
        <v>9909470634</v>
      </c>
    </row>
    <row r="369" spans="1:3" x14ac:dyDescent="0.25">
      <c r="A369" s="42" t="s">
        <v>1584</v>
      </c>
      <c r="B369" s="43" t="s">
        <v>1585</v>
      </c>
      <c r="C369" s="44">
        <v>667329028310</v>
      </c>
    </row>
    <row r="370" spans="1:3" x14ac:dyDescent="0.25">
      <c r="A370" s="42" t="s">
        <v>218</v>
      </c>
      <c r="B370" s="43" t="s">
        <v>218</v>
      </c>
      <c r="C370" s="44">
        <v>165050125661</v>
      </c>
    </row>
    <row r="371" spans="1:3" x14ac:dyDescent="0.25">
      <c r="A371" s="42" t="s">
        <v>1586</v>
      </c>
      <c r="B371" s="43" t="s">
        <v>1586</v>
      </c>
      <c r="C371" s="44">
        <v>164604449196</v>
      </c>
    </row>
    <row r="372" spans="1:3" x14ac:dyDescent="0.25">
      <c r="A372" s="42" t="s">
        <v>1587</v>
      </c>
      <c r="B372" s="43" t="s">
        <v>643</v>
      </c>
      <c r="C372" s="44">
        <v>1650369679</v>
      </c>
    </row>
    <row r="373" spans="1:3" x14ac:dyDescent="0.25">
      <c r="A373" s="42" t="s">
        <v>1588</v>
      </c>
      <c r="B373" s="43" t="s">
        <v>1589</v>
      </c>
      <c r="C373" s="44">
        <v>105077667</v>
      </c>
    </row>
    <row r="374" spans="1:3" x14ac:dyDescent="0.25">
      <c r="A374" s="42" t="s">
        <v>1590</v>
      </c>
      <c r="B374" s="43" t="s">
        <v>1591</v>
      </c>
      <c r="C374" s="44">
        <v>1650387702</v>
      </c>
    </row>
    <row r="375" spans="1:3" x14ac:dyDescent="0.25">
      <c r="A375" s="42" t="s">
        <v>1592</v>
      </c>
      <c r="B375" s="43" t="s">
        <v>1593</v>
      </c>
      <c r="C375" s="44">
        <v>265990240</v>
      </c>
    </row>
    <row r="376" spans="1:3" x14ac:dyDescent="0.25">
      <c r="A376" s="42" t="s">
        <v>222</v>
      </c>
      <c r="B376" s="43" t="s">
        <v>222</v>
      </c>
      <c r="C376" s="44">
        <v>165919742506</v>
      </c>
    </row>
    <row r="377" spans="1:3" x14ac:dyDescent="0.25">
      <c r="A377" s="42" t="s">
        <v>1594</v>
      </c>
      <c r="B377" s="43" t="s">
        <v>1595</v>
      </c>
      <c r="C377" s="44">
        <v>7722348262</v>
      </c>
    </row>
    <row r="378" spans="1:3" x14ac:dyDescent="0.25">
      <c r="A378" s="42" t="s">
        <v>1596</v>
      </c>
      <c r="B378" s="43" t="s">
        <v>1597</v>
      </c>
      <c r="C378" s="44">
        <v>5047150353</v>
      </c>
    </row>
    <row r="379" spans="1:3" x14ac:dyDescent="0.25">
      <c r="A379" s="42" t="s">
        <v>1598</v>
      </c>
      <c r="B379" s="43" t="s">
        <v>1599</v>
      </c>
      <c r="C379" s="44">
        <v>6679113421</v>
      </c>
    </row>
    <row r="380" spans="1:3" x14ac:dyDescent="0.25">
      <c r="A380" s="42" t="s">
        <v>1600</v>
      </c>
      <c r="B380" s="43" t="s">
        <v>1601</v>
      </c>
      <c r="C380" s="44">
        <v>1650017638</v>
      </c>
    </row>
    <row r="381" spans="1:3" x14ac:dyDescent="0.25">
      <c r="A381" s="42" t="s">
        <v>1602</v>
      </c>
      <c r="B381" s="43" t="s">
        <v>1603</v>
      </c>
      <c r="C381" s="44">
        <v>6829012680</v>
      </c>
    </row>
    <row r="382" spans="1:3" x14ac:dyDescent="0.25">
      <c r="A382" s="42" t="s">
        <v>1604</v>
      </c>
      <c r="B382" s="43" t="s">
        <v>1605</v>
      </c>
      <c r="C382" s="44">
        <v>6829012680</v>
      </c>
    </row>
    <row r="383" spans="1:3" x14ac:dyDescent="0.25">
      <c r="A383" s="42" t="s">
        <v>1606</v>
      </c>
      <c r="B383" s="43" t="s">
        <v>1607</v>
      </c>
      <c r="C383" s="44">
        <v>6829012680</v>
      </c>
    </row>
    <row r="384" spans="1:3" x14ac:dyDescent="0.25">
      <c r="A384" s="42" t="s">
        <v>1608</v>
      </c>
      <c r="B384" s="43" t="s">
        <v>1609</v>
      </c>
      <c r="C384" s="44">
        <v>1650176645</v>
      </c>
    </row>
    <row r="385" spans="1:3" x14ac:dyDescent="0.25">
      <c r="A385" s="42" t="s">
        <v>1610</v>
      </c>
      <c r="B385" s="43" t="s">
        <v>1611</v>
      </c>
      <c r="C385" s="44">
        <v>1650301720</v>
      </c>
    </row>
    <row r="386" spans="1:3" x14ac:dyDescent="0.25">
      <c r="A386" s="42" t="s">
        <v>1612</v>
      </c>
      <c r="B386" s="43" t="s">
        <v>1613</v>
      </c>
      <c r="C386" s="44">
        <v>2312219320</v>
      </c>
    </row>
    <row r="387" spans="1:3" x14ac:dyDescent="0.25">
      <c r="A387" s="42" t="s">
        <v>1614</v>
      </c>
      <c r="B387" s="43" t="s">
        <v>1615</v>
      </c>
      <c r="C387" s="44">
        <v>6658286046</v>
      </c>
    </row>
    <row r="388" spans="1:3" x14ac:dyDescent="0.25">
      <c r="A388" s="42" t="s">
        <v>1616</v>
      </c>
      <c r="B388" s="43" t="s">
        <v>1617</v>
      </c>
      <c r="C388" s="44">
        <v>2308073661</v>
      </c>
    </row>
    <row r="389" spans="1:3" x14ac:dyDescent="0.25">
      <c r="A389" s="42" t="s">
        <v>1618</v>
      </c>
      <c r="B389" s="43" t="s">
        <v>1619</v>
      </c>
      <c r="C389" s="44">
        <v>7718950650</v>
      </c>
    </row>
    <row r="390" spans="1:3" x14ac:dyDescent="0.25">
      <c r="A390" s="42" t="s">
        <v>1620</v>
      </c>
      <c r="B390" s="43" t="s">
        <v>1621</v>
      </c>
      <c r="C390" s="44">
        <v>1650202687</v>
      </c>
    </row>
    <row r="391" spans="1:3" x14ac:dyDescent="0.25">
      <c r="A391" s="42" t="s">
        <v>1622</v>
      </c>
      <c r="B391" s="43" t="s">
        <v>1623</v>
      </c>
      <c r="C391" s="44">
        <v>276921055</v>
      </c>
    </row>
    <row r="392" spans="1:3" x14ac:dyDescent="0.25">
      <c r="A392" s="42" t="s">
        <v>1624</v>
      </c>
      <c r="B392" s="43" t="s">
        <v>1625</v>
      </c>
      <c r="C392" s="44">
        <v>275918243</v>
      </c>
    </row>
    <row r="393" spans="1:3" x14ac:dyDescent="0.25">
      <c r="A393" s="42" t="s">
        <v>1626</v>
      </c>
      <c r="B393" s="43" t="s">
        <v>1626</v>
      </c>
      <c r="C393" s="44">
        <v>31465507683</v>
      </c>
    </row>
    <row r="394" spans="1:3" x14ac:dyDescent="0.25">
      <c r="A394" s="42" t="s">
        <v>1627</v>
      </c>
      <c r="B394" s="43" t="s">
        <v>1628</v>
      </c>
      <c r="C394" s="44">
        <v>6679113421</v>
      </c>
    </row>
    <row r="395" spans="1:3" x14ac:dyDescent="0.25">
      <c r="A395" s="42" t="s">
        <v>1629</v>
      </c>
      <c r="B395" s="43" t="s">
        <v>1630</v>
      </c>
      <c r="C395" s="44">
        <v>6679052056</v>
      </c>
    </row>
    <row r="396" spans="1:3" x14ac:dyDescent="0.25">
      <c r="A396" s="42" t="s">
        <v>1631</v>
      </c>
      <c r="B396" s="43" t="s">
        <v>1632</v>
      </c>
      <c r="C396" s="44">
        <v>1658102028</v>
      </c>
    </row>
    <row r="397" spans="1:3" x14ac:dyDescent="0.25">
      <c r="A397" s="42" t="s">
        <v>1633</v>
      </c>
      <c r="B397" s="43" t="s">
        <v>1634</v>
      </c>
      <c r="C397" s="44">
        <v>7825333606</v>
      </c>
    </row>
    <row r="398" spans="1:3" x14ac:dyDescent="0.25">
      <c r="A398" s="42" t="s">
        <v>1635</v>
      </c>
      <c r="B398" s="43" t="s">
        <v>1636</v>
      </c>
      <c r="C398" s="44">
        <v>6686115116</v>
      </c>
    </row>
    <row r="399" spans="1:3" x14ac:dyDescent="0.25">
      <c r="A399" s="42" t="s">
        <v>1637</v>
      </c>
      <c r="B399" s="43" t="s">
        <v>1638</v>
      </c>
      <c r="C399" s="44">
        <v>1660095642</v>
      </c>
    </row>
    <row r="400" spans="1:3" x14ac:dyDescent="0.25">
      <c r="A400" s="42" t="s">
        <v>1639</v>
      </c>
      <c r="B400" s="43" t="s">
        <v>1639</v>
      </c>
      <c r="C400" s="44">
        <v>27718066074</v>
      </c>
    </row>
    <row r="401" spans="1:3" x14ac:dyDescent="0.25">
      <c r="A401" s="42" t="s">
        <v>1640</v>
      </c>
      <c r="B401" s="43" t="s">
        <v>1641</v>
      </c>
      <c r="C401" s="44">
        <v>7805702252</v>
      </c>
    </row>
    <row r="402" spans="1:3" x14ac:dyDescent="0.25">
      <c r="A402" s="42" t="s">
        <v>1642</v>
      </c>
      <c r="B402" s="43" t="s">
        <v>1643</v>
      </c>
      <c r="C402" s="44">
        <v>1651080833</v>
      </c>
    </row>
    <row r="403" spans="1:3" x14ac:dyDescent="0.25">
      <c r="A403" s="42" t="s">
        <v>1644</v>
      </c>
      <c r="B403" s="43" t="s">
        <v>1645</v>
      </c>
      <c r="C403" s="44">
        <v>110804364543</v>
      </c>
    </row>
    <row r="404" spans="1:3" x14ac:dyDescent="0.25">
      <c r="A404" s="42" t="s">
        <v>1646</v>
      </c>
      <c r="B404" s="43" t="s">
        <v>1647</v>
      </c>
      <c r="C404" s="44">
        <v>1660254691</v>
      </c>
    </row>
    <row r="405" spans="1:3" x14ac:dyDescent="0.25">
      <c r="A405" s="42" t="s">
        <v>1648</v>
      </c>
      <c r="B405" s="43" t="s">
        <v>1649</v>
      </c>
      <c r="C405" s="44">
        <v>7706228169</v>
      </c>
    </row>
    <row r="406" spans="1:3" x14ac:dyDescent="0.25">
      <c r="A406" s="42" t="s">
        <v>1650</v>
      </c>
      <c r="B406" s="43" t="s">
        <v>1651</v>
      </c>
      <c r="C406" s="44">
        <v>7451076950</v>
      </c>
    </row>
    <row r="407" spans="1:3" x14ac:dyDescent="0.25">
      <c r="A407" s="42" t="s">
        <v>1652</v>
      </c>
      <c r="B407" s="43" t="s">
        <v>1653</v>
      </c>
      <c r="C407" s="44">
        <v>9717084610</v>
      </c>
    </row>
    <row r="408" spans="1:3" x14ac:dyDescent="0.25">
      <c r="A408" s="42" t="s">
        <v>1654</v>
      </c>
      <c r="B408" s="43" t="s">
        <v>1654</v>
      </c>
      <c r="C408" s="44">
        <v>7730610643</v>
      </c>
    </row>
    <row r="409" spans="1:3" x14ac:dyDescent="0.25">
      <c r="A409" s="42" t="s">
        <v>1655</v>
      </c>
      <c r="B409" s="43" t="s">
        <v>1656</v>
      </c>
      <c r="C409" s="44">
        <v>7805385620</v>
      </c>
    </row>
    <row r="410" spans="1:3" x14ac:dyDescent="0.25">
      <c r="A410" s="42" t="s">
        <v>1657</v>
      </c>
      <c r="B410" s="43" t="s">
        <v>1658</v>
      </c>
      <c r="C410" s="44">
        <v>7802233316</v>
      </c>
    </row>
    <row r="411" spans="1:3" x14ac:dyDescent="0.25">
      <c r="A411" s="42" t="s">
        <v>1659</v>
      </c>
      <c r="B411" s="43" t="s">
        <v>1660</v>
      </c>
      <c r="C411" s="44">
        <v>9723033526</v>
      </c>
    </row>
    <row r="412" spans="1:3" x14ac:dyDescent="0.25">
      <c r="A412" s="42" t="s">
        <v>1661</v>
      </c>
      <c r="B412" s="43" t="s">
        <v>1662</v>
      </c>
      <c r="C412" s="44">
        <v>5038117945</v>
      </c>
    </row>
    <row r="413" spans="1:3" x14ac:dyDescent="0.25">
      <c r="A413" s="42" t="s">
        <v>1663</v>
      </c>
      <c r="B413" s="43" t="s">
        <v>1664</v>
      </c>
      <c r="C413" s="44">
        <v>7808043470</v>
      </c>
    </row>
    <row r="414" spans="1:3" x14ac:dyDescent="0.25">
      <c r="A414" s="42" t="s">
        <v>1665</v>
      </c>
      <c r="B414" s="43" t="s">
        <v>1666</v>
      </c>
      <c r="C414" s="44">
        <v>7721793895</v>
      </c>
    </row>
    <row r="415" spans="1:3" x14ac:dyDescent="0.25">
      <c r="A415" s="42" t="s">
        <v>1667</v>
      </c>
      <c r="B415" s="43" t="s">
        <v>1668</v>
      </c>
      <c r="C415" s="44">
        <v>5261038946</v>
      </c>
    </row>
    <row r="416" spans="1:3" x14ac:dyDescent="0.25">
      <c r="A416" s="42" t="s">
        <v>1669</v>
      </c>
      <c r="B416" s="43" t="s">
        <v>1670</v>
      </c>
      <c r="C416" s="44">
        <v>5407240894</v>
      </c>
    </row>
    <row r="417" spans="1:3" x14ac:dyDescent="0.25">
      <c r="A417" s="42" t="s">
        <v>1671</v>
      </c>
      <c r="B417" s="43" t="s">
        <v>1672</v>
      </c>
      <c r="C417" s="44">
        <v>711610888779</v>
      </c>
    </row>
    <row r="418" spans="1:3" x14ac:dyDescent="0.25">
      <c r="A418" s="42" t="s">
        <v>230</v>
      </c>
      <c r="B418" s="43" t="s">
        <v>230</v>
      </c>
      <c r="C418" s="44">
        <v>164705828761</v>
      </c>
    </row>
    <row r="419" spans="1:3" x14ac:dyDescent="0.25">
      <c r="A419" s="42" t="s">
        <v>1673</v>
      </c>
      <c r="B419" s="43" t="s">
        <v>1674</v>
      </c>
      <c r="C419" s="44">
        <v>6227003254</v>
      </c>
    </row>
    <row r="420" spans="1:3" x14ac:dyDescent="0.25">
      <c r="A420" s="42" t="s">
        <v>1675</v>
      </c>
      <c r="B420" s="43" t="s">
        <v>1676</v>
      </c>
      <c r="C420" s="44">
        <v>5262013422</v>
      </c>
    </row>
    <row r="421" spans="1:3" x14ac:dyDescent="0.25">
      <c r="A421" s="42" t="s">
        <v>1677</v>
      </c>
      <c r="B421" s="43" t="s">
        <v>1678</v>
      </c>
      <c r="C421" s="44">
        <v>7719893821</v>
      </c>
    </row>
    <row r="422" spans="1:3" x14ac:dyDescent="0.25">
      <c r="A422" s="42" t="s">
        <v>1679</v>
      </c>
      <c r="B422" s="43" t="s">
        <v>1680</v>
      </c>
      <c r="C422" s="44">
        <v>6663003127</v>
      </c>
    </row>
    <row r="423" spans="1:3" x14ac:dyDescent="0.25">
      <c r="A423" s="42" t="s">
        <v>1681</v>
      </c>
      <c r="B423" s="43" t="s">
        <v>1682</v>
      </c>
      <c r="C423" s="44">
        <v>166107229740</v>
      </c>
    </row>
    <row r="424" spans="1:3" x14ac:dyDescent="0.25">
      <c r="A424" s="42" t="s">
        <v>663</v>
      </c>
      <c r="B424" s="43" t="s">
        <v>663</v>
      </c>
      <c r="C424" s="44">
        <v>165707469510</v>
      </c>
    </row>
    <row r="425" spans="1:3" x14ac:dyDescent="0.25">
      <c r="A425" s="42" t="s">
        <v>1683</v>
      </c>
      <c r="B425" s="43" t="s">
        <v>1684</v>
      </c>
      <c r="C425" s="44">
        <v>165506368230</v>
      </c>
    </row>
    <row r="426" spans="1:3" x14ac:dyDescent="0.25">
      <c r="A426" s="42" t="s">
        <v>1685</v>
      </c>
      <c r="B426" s="43" t="s">
        <v>1686</v>
      </c>
      <c r="C426" s="44">
        <v>2465160699</v>
      </c>
    </row>
    <row r="427" spans="1:3" x14ac:dyDescent="0.25">
      <c r="A427" s="42" t="s">
        <v>1687</v>
      </c>
      <c r="B427" s="43" t="s">
        <v>1688</v>
      </c>
      <c r="C427" s="44">
        <v>2460250349</v>
      </c>
    </row>
    <row r="428" spans="1:3" x14ac:dyDescent="0.25">
      <c r="A428" s="42" t="s">
        <v>1689</v>
      </c>
      <c r="B428" s="43" t="s">
        <v>1690</v>
      </c>
      <c r="C428" s="44">
        <v>6659039392</v>
      </c>
    </row>
    <row r="429" spans="1:3" x14ac:dyDescent="0.25">
      <c r="A429" s="42" t="s">
        <v>1691</v>
      </c>
      <c r="B429" s="43" t="s">
        <v>1692</v>
      </c>
      <c r="C429" s="44">
        <v>381017037585</v>
      </c>
    </row>
    <row r="430" spans="1:3" x14ac:dyDescent="0.25">
      <c r="A430" s="42" t="s">
        <v>1693</v>
      </c>
      <c r="B430" s="43" t="s">
        <v>1694</v>
      </c>
      <c r="C430" s="44">
        <v>1661051327</v>
      </c>
    </row>
    <row r="431" spans="1:3" x14ac:dyDescent="0.25">
      <c r="A431" s="42" t="s">
        <v>1695</v>
      </c>
      <c r="B431" s="43" t="s">
        <v>1696</v>
      </c>
      <c r="C431" s="44">
        <v>7716526213</v>
      </c>
    </row>
    <row r="432" spans="1:3" x14ac:dyDescent="0.25">
      <c r="A432" s="42" t="s">
        <v>1697</v>
      </c>
      <c r="B432" s="43" t="s">
        <v>1698</v>
      </c>
      <c r="C432" s="44">
        <v>5837003278</v>
      </c>
    </row>
    <row r="433" spans="1:3" x14ac:dyDescent="0.25">
      <c r="A433" s="42" t="s">
        <v>1699</v>
      </c>
      <c r="B433" s="43" t="s">
        <v>1700</v>
      </c>
      <c r="C433" s="44">
        <v>1656105880</v>
      </c>
    </row>
    <row r="434" spans="1:3" x14ac:dyDescent="0.25">
      <c r="A434" s="42" t="s">
        <v>1701</v>
      </c>
      <c r="B434" s="43" t="s">
        <v>1702</v>
      </c>
      <c r="C434" s="44">
        <v>7730230874</v>
      </c>
    </row>
    <row r="435" spans="1:3" x14ac:dyDescent="0.25">
      <c r="A435" s="42" t="s">
        <v>1703</v>
      </c>
      <c r="B435" s="43" t="s">
        <v>1704</v>
      </c>
      <c r="C435" s="44">
        <v>2312016641</v>
      </c>
    </row>
    <row r="436" spans="1:3" x14ac:dyDescent="0.25">
      <c r="A436" s="42" t="s">
        <v>1705</v>
      </c>
      <c r="B436" s="43" t="s">
        <v>1706</v>
      </c>
      <c r="C436" s="44">
        <v>2348037620</v>
      </c>
    </row>
    <row r="437" spans="1:3" x14ac:dyDescent="0.25">
      <c r="A437" s="42" t="s">
        <v>1707</v>
      </c>
      <c r="B437" s="43" t="s">
        <v>1708</v>
      </c>
      <c r="C437" s="44">
        <v>165000655328</v>
      </c>
    </row>
    <row r="438" spans="1:3" x14ac:dyDescent="0.25">
      <c r="A438" s="42" t="s">
        <v>1709</v>
      </c>
      <c r="B438" s="43" t="s">
        <v>1709</v>
      </c>
      <c r="C438" s="44">
        <v>1655258002</v>
      </c>
    </row>
    <row r="439" spans="1:3" x14ac:dyDescent="0.25">
      <c r="A439" s="42" t="s">
        <v>1710</v>
      </c>
      <c r="B439" s="43" t="s">
        <v>1711</v>
      </c>
      <c r="C439" s="44">
        <v>163903166469</v>
      </c>
    </row>
    <row r="440" spans="1:3" x14ac:dyDescent="0.25">
      <c r="A440" s="42" t="s">
        <v>260</v>
      </c>
      <c r="B440" s="43" t="s">
        <v>260</v>
      </c>
      <c r="C440" s="44">
        <v>165901790347</v>
      </c>
    </row>
    <row r="441" spans="1:3" x14ac:dyDescent="0.25">
      <c r="A441" s="42" t="s">
        <v>1712</v>
      </c>
      <c r="B441" s="43" t="s">
        <v>1713</v>
      </c>
      <c r="C441" s="44">
        <v>2367000440</v>
      </c>
    </row>
    <row r="442" spans="1:3" x14ac:dyDescent="0.25">
      <c r="A442" s="42" t="s">
        <v>1714</v>
      </c>
      <c r="B442" s="43" t="s">
        <v>1715</v>
      </c>
      <c r="C442" s="44">
        <v>7723606660</v>
      </c>
    </row>
    <row r="443" spans="1:3" x14ac:dyDescent="0.25">
      <c r="A443" s="42" t="s">
        <v>1716</v>
      </c>
      <c r="B443" s="43" t="s">
        <v>1717</v>
      </c>
      <c r="C443" s="44">
        <v>1655018018</v>
      </c>
    </row>
    <row r="444" spans="1:3" x14ac:dyDescent="0.25">
      <c r="A444" s="42" t="s">
        <v>1718</v>
      </c>
      <c r="B444" s="43" t="s">
        <v>23</v>
      </c>
      <c r="C444" s="44">
        <v>1650352964</v>
      </c>
    </row>
    <row r="445" spans="1:3" x14ac:dyDescent="0.25">
      <c r="A445" s="42" t="s">
        <v>1719</v>
      </c>
      <c r="B445" s="43" t="s">
        <v>1720</v>
      </c>
      <c r="C445" s="44">
        <v>1658099230</v>
      </c>
    </row>
    <row r="446" spans="1:3" x14ac:dyDescent="0.25">
      <c r="A446" s="42" t="s">
        <v>1721</v>
      </c>
      <c r="B446" s="43" t="s">
        <v>1722</v>
      </c>
      <c r="C446" s="44"/>
    </row>
    <row r="447" spans="1:3" x14ac:dyDescent="0.25">
      <c r="A447" s="42" t="s">
        <v>1723</v>
      </c>
      <c r="B447" s="43" t="s">
        <v>1724</v>
      </c>
      <c r="C447" s="44">
        <v>1650389347</v>
      </c>
    </row>
    <row r="448" spans="1:3" x14ac:dyDescent="0.25">
      <c r="A448" s="42" t="s">
        <v>1725</v>
      </c>
      <c r="B448" s="43" t="s">
        <v>1726</v>
      </c>
      <c r="C448" s="44">
        <v>1650369559</v>
      </c>
    </row>
    <row r="449" spans="1:3" x14ac:dyDescent="0.25">
      <c r="A449" s="42" t="s">
        <v>1727</v>
      </c>
      <c r="B449" s="43" t="s">
        <v>1728</v>
      </c>
      <c r="C449" s="44">
        <v>7713715766</v>
      </c>
    </row>
    <row r="450" spans="1:3" x14ac:dyDescent="0.25">
      <c r="A450" s="42" t="s">
        <v>1729</v>
      </c>
      <c r="B450" s="43" t="s">
        <v>1730</v>
      </c>
      <c r="C450" s="44">
        <v>7810851203</v>
      </c>
    </row>
    <row r="451" spans="1:3" x14ac:dyDescent="0.25">
      <c r="A451" s="42" t="s">
        <v>1731</v>
      </c>
      <c r="B451" s="43" t="s">
        <v>1732</v>
      </c>
      <c r="C451" s="44">
        <v>5029069967</v>
      </c>
    </row>
    <row r="452" spans="1:3" x14ac:dyDescent="0.25">
      <c r="A452" s="42" t="s">
        <v>1733</v>
      </c>
      <c r="B452" s="43" t="s">
        <v>1732</v>
      </c>
      <c r="C452" s="44">
        <v>5029069967</v>
      </c>
    </row>
    <row r="453" spans="1:3" x14ac:dyDescent="0.25">
      <c r="A453" s="42" t="s">
        <v>1734</v>
      </c>
      <c r="B453" s="43" t="s">
        <v>1735</v>
      </c>
      <c r="C453" s="44">
        <v>6311171874</v>
      </c>
    </row>
    <row r="454" spans="1:3" x14ac:dyDescent="0.25">
      <c r="A454" s="42" t="s">
        <v>1736</v>
      </c>
      <c r="B454" s="43" t="s">
        <v>1737</v>
      </c>
      <c r="C454" s="44">
        <v>7103000541</v>
      </c>
    </row>
    <row r="455" spans="1:3" x14ac:dyDescent="0.25">
      <c r="A455" s="42" t="s">
        <v>1738</v>
      </c>
      <c r="B455" s="43" t="s">
        <v>1739</v>
      </c>
      <c r="C455" s="44">
        <v>1656065959</v>
      </c>
    </row>
    <row r="456" spans="1:3" x14ac:dyDescent="0.25">
      <c r="A456" s="42" t="s">
        <v>1740</v>
      </c>
      <c r="B456" s="43" t="s">
        <v>1741</v>
      </c>
      <c r="C456" s="44">
        <v>1655150200</v>
      </c>
    </row>
    <row r="457" spans="1:3" x14ac:dyDescent="0.25">
      <c r="A457" s="42" t="s">
        <v>1742</v>
      </c>
      <c r="B457" s="43" t="s">
        <v>1743</v>
      </c>
      <c r="C457" s="44">
        <v>183401267882</v>
      </c>
    </row>
    <row r="458" spans="1:3" x14ac:dyDescent="0.25">
      <c r="A458" s="42" t="s">
        <v>1744</v>
      </c>
      <c r="B458" s="43" t="s">
        <v>1745</v>
      </c>
      <c r="C458" s="44">
        <v>1650098228</v>
      </c>
    </row>
    <row r="459" spans="1:3" x14ac:dyDescent="0.25">
      <c r="A459" s="42" t="s">
        <v>1746</v>
      </c>
      <c r="B459" s="43" t="s">
        <v>1747</v>
      </c>
      <c r="C459" s="44">
        <v>1661023619</v>
      </c>
    </row>
    <row r="460" spans="1:3" x14ac:dyDescent="0.25">
      <c r="A460" s="42" t="s">
        <v>1748</v>
      </c>
      <c r="B460" s="43" t="s">
        <v>1749</v>
      </c>
      <c r="C460" s="44">
        <v>5261105617</v>
      </c>
    </row>
    <row r="461" spans="1:3" x14ac:dyDescent="0.25">
      <c r="A461" s="42" t="s">
        <v>1750</v>
      </c>
      <c r="B461" s="43" t="s">
        <v>1751</v>
      </c>
      <c r="C461" s="44">
        <v>7705674361</v>
      </c>
    </row>
    <row r="462" spans="1:3" x14ac:dyDescent="0.25">
      <c r="A462" s="42" t="s">
        <v>1752</v>
      </c>
      <c r="B462" s="43" t="s">
        <v>1753</v>
      </c>
      <c r="C462" s="44">
        <v>1661043157</v>
      </c>
    </row>
    <row r="463" spans="1:3" x14ac:dyDescent="0.25">
      <c r="A463" s="42" t="s">
        <v>1754</v>
      </c>
      <c r="B463" s="43" t="s">
        <v>1755</v>
      </c>
      <c r="C463" s="44">
        <v>5001105830</v>
      </c>
    </row>
    <row r="464" spans="1:3" x14ac:dyDescent="0.25">
      <c r="A464" s="42" t="s">
        <v>1756</v>
      </c>
      <c r="B464" s="43" t="s">
        <v>1757</v>
      </c>
      <c r="C464" s="44">
        <v>2130097981</v>
      </c>
    </row>
    <row r="465" spans="1:3" x14ac:dyDescent="0.25">
      <c r="A465" s="42" t="s">
        <v>303</v>
      </c>
      <c r="B465" s="43" t="s">
        <v>303</v>
      </c>
      <c r="C465" s="44">
        <v>165506394617</v>
      </c>
    </row>
    <row r="466" spans="1:3" x14ac:dyDescent="0.25">
      <c r="A466" s="42" t="s">
        <v>306</v>
      </c>
      <c r="B466" s="43" t="s">
        <v>306</v>
      </c>
      <c r="C466" s="44">
        <v>27721844694</v>
      </c>
    </row>
    <row r="467" spans="1:3" x14ac:dyDescent="0.25">
      <c r="A467" s="42" t="s">
        <v>1758</v>
      </c>
      <c r="B467" s="43" t="s">
        <v>1759</v>
      </c>
      <c r="C467" s="44">
        <v>7726366135</v>
      </c>
    </row>
    <row r="468" spans="1:3" x14ac:dyDescent="0.25">
      <c r="A468" s="42" t="s">
        <v>1760</v>
      </c>
      <c r="B468" s="43" t="s">
        <v>1761</v>
      </c>
      <c r="C468" s="44">
        <v>7021000501</v>
      </c>
    </row>
    <row r="469" spans="1:3" x14ac:dyDescent="0.25">
      <c r="A469" s="42" t="s">
        <v>310</v>
      </c>
      <c r="B469" s="43" t="s">
        <v>310</v>
      </c>
      <c r="C469" s="44">
        <v>161500820639</v>
      </c>
    </row>
    <row r="470" spans="1:3" x14ac:dyDescent="0.25">
      <c r="A470" s="42" t="s">
        <v>1762</v>
      </c>
      <c r="B470" s="43" t="s">
        <v>1763</v>
      </c>
      <c r="C470" s="44">
        <v>1650090589</v>
      </c>
    </row>
    <row r="471" spans="1:3" x14ac:dyDescent="0.25">
      <c r="A471" s="42" t="s">
        <v>1764</v>
      </c>
      <c r="B471" s="43" t="s">
        <v>1765</v>
      </c>
      <c r="C471" s="44">
        <v>7707548740</v>
      </c>
    </row>
    <row r="472" spans="1:3" x14ac:dyDescent="0.25">
      <c r="A472" s="42" t="s">
        <v>1766</v>
      </c>
      <c r="B472" s="43" t="s">
        <v>1767</v>
      </c>
      <c r="C472" s="44">
        <v>7810081280</v>
      </c>
    </row>
    <row r="473" spans="1:3" x14ac:dyDescent="0.25">
      <c r="A473" s="42" t="s">
        <v>1768</v>
      </c>
      <c r="B473" s="43" t="s">
        <v>1768</v>
      </c>
      <c r="C473" s="44">
        <v>1650257990</v>
      </c>
    </row>
    <row r="474" spans="1:3" x14ac:dyDescent="0.25">
      <c r="A474" s="42" t="s">
        <v>1769</v>
      </c>
      <c r="B474" s="43" t="s">
        <v>1770</v>
      </c>
      <c r="C474" s="44">
        <v>6685150502</v>
      </c>
    </row>
    <row r="475" spans="1:3" x14ac:dyDescent="0.25">
      <c r="A475" s="42" t="s">
        <v>1771</v>
      </c>
      <c r="B475" s="43" t="s">
        <v>1772</v>
      </c>
      <c r="C475" s="44">
        <v>380400160329</v>
      </c>
    </row>
    <row r="476" spans="1:3" x14ac:dyDescent="0.25">
      <c r="A476" s="42" t="s">
        <v>1773</v>
      </c>
      <c r="B476" s="43" t="s">
        <v>1774</v>
      </c>
      <c r="C476" s="44">
        <v>1650306453</v>
      </c>
    </row>
    <row r="477" spans="1:3" x14ac:dyDescent="0.25">
      <c r="A477" s="25" t="s">
        <v>1775</v>
      </c>
      <c r="B477" s="43" t="s">
        <v>1776</v>
      </c>
      <c r="C477" s="44">
        <v>1660296109</v>
      </c>
    </row>
    <row r="478" spans="1:3" x14ac:dyDescent="0.25">
      <c r="A478" s="25" t="s">
        <v>1777</v>
      </c>
      <c r="B478" s="43" t="s">
        <v>1778</v>
      </c>
      <c r="C478" s="44">
        <v>7825334350</v>
      </c>
    </row>
    <row r="479" spans="1:3" x14ac:dyDescent="0.25">
      <c r="A479" s="25" t="s">
        <v>1779</v>
      </c>
      <c r="B479" s="43" t="s">
        <v>1780</v>
      </c>
      <c r="C479" s="44">
        <v>1650255978</v>
      </c>
    </row>
    <row r="480" spans="1:3" x14ac:dyDescent="0.25">
      <c r="A480" s="25" t="s">
        <v>1781</v>
      </c>
      <c r="B480" s="43" t="s">
        <v>1782</v>
      </c>
      <c r="C480" s="44">
        <v>1650187816</v>
      </c>
    </row>
    <row r="481" spans="1:3" x14ac:dyDescent="0.25">
      <c r="A481" s="25" t="s">
        <v>1783</v>
      </c>
      <c r="B481" s="43" t="s">
        <v>1783</v>
      </c>
      <c r="C481" s="44">
        <v>7730176088</v>
      </c>
    </row>
    <row r="482" spans="1:3" x14ac:dyDescent="0.25">
      <c r="A482" s="25" t="s">
        <v>1784</v>
      </c>
      <c r="B482" s="43" t="s">
        <v>1784</v>
      </c>
      <c r="C482" s="44">
        <v>7706406291</v>
      </c>
    </row>
    <row r="483" spans="1:3" x14ac:dyDescent="0.25">
      <c r="A483" s="25" t="s">
        <v>1785</v>
      </c>
      <c r="B483" s="43" t="s">
        <v>1786</v>
      </c>
      <c r="C483" s="44">
        <v>8904091912</v>
      </c>
    </row>
    <row r="484" spans="1:3" x14ac:dyDescent="0.25">
      <c r="A484" s="25" t="s">
        <v>1787</v>
      </c>
      <c r="B484" s="43" t="s">
        <v>1788</v>
      </c>
      <c r="C484" s="44">
        <v>1616032178</v>
      </c>
    </row>
    <row r="485" spans="1:3" x14ac:dyDescent="0.25">
      <c r="A485" s="25" t="s">
        <v>1789</v>
      </c>
      <c r="B485" s="43" t="s">
        <v>1790</v>
      </c>
      <c r="C485" s="44">
        <v>7448024720</v>
      </c>
    </row>
    <row r="486" spans="1:3" x14ac:dyDescent="0.25">
      <c r="A486" s="25" t="s">
        <v>1791</v>
      </c>
      <c r="B486" s="43" t="s">
        <v>1792</v>
      </c>
      <c r="C486" s="44">
        <v>7704218694</v>
      </c>
    </row>
    <row r="487" spans="1:3" x14ac:dyDescent="0.25">
      <c r="A487" s="25" t="s">
        <v>1793</v>
      </c>
      <c r="B487" s="43" t="s">
        <v>1794</v>
      </c>
      <c r="C487" s="44">
        <v>7705125499</v>
      </c>
    </row>
    <row r="488" spans="1:3" x14ac:dyDescent="0.25">
      <c r="A488" s="25" t="s">
        <v>1795</v>
      </c>
      <c r="B488" s="43" t="s">
        <v>1796</v>
      </c>
      <c r="C488" s="44">
        <v>2130202097</v>
      </c>
    </row>
    <row r="489" spans="1:3" x14ac:dyDescent="0.25">
      <c r="A489" s="25" t="s">
        <v>1797</v>
      </c>
      <c r="B489" s="43" t="s">
        <v>1798</v>
      </c>
      <c r="C489" s="44">
        <v>7808022632</v>
      </c>
    </row>
    <row r="490" spans="1:3" x14ac:dyDescent="0.25">
      <c r="A490" s="25" t="s">
        <v>1799</v>
      </c>
      <c r="B490" s="43" t="s">
        <v>1800</v>
      </c>
      <c r="C490" s="44">
        <v>7719228261</v>
      </c>
    </row>
    <row r="491" spans="1:3" x14ac:dyDescent="0.25">
      <c r="A491" s="25" t="s">
        <v>1801</v>
      </c>
      <c r="B491" s="43" t="s">
        <v>1802</v>
      </c>
      <c r="C491" s="44">
        <v>7303020915</v>
      </c>
    </row>
    <row r="492" spans="1:3" x14ac:dyDescent="0.25">
      <c r="A492" s="25" t="s">
        <v>1803</v>
      </c>
      <c r="B492" s="43" t="s">
        <v>1803</v>
      </c>
      <c r="C492" s="44">
        <v>661209393455</v>
      </c>
    </row>
    <row r="493" spans="1:3" x14ac:dyDescent="0.25">
      <c r="A493" s="25" t="s">
        <v>1804</v>
      </c>
      <c r="B493" s="43" t="s">
        <v>1805</v>
      </c>
      <c r="C493" s="44">
        <v>165016432574</v>
      </c>
    </row>
    <row r="494" spans="1:3" x14ac:dyDescent="0.25">
      <c r="A494" s="25" t="s">
        <v>1806</v>
      </c>
      <c r="B494" s="43" t="s">
        <v>1807</v>
      </c>
      <c r="C494" s="44">
        <v>164400928352</v>
      </c>
    </row>
    <row r="495" spans="1:3" x14ac:dyDescent="0.25">
      <c r="A495" s="25" t="s">
        <v>1808</v>
      </c>
      <c r="B495" s="43" t="s">
        <v>1809</v>
      </c>
      <c r="C495" s="44">
        <v>1659196808</v>
      </c>
    </row>
    <row r="496" spans="1:3" x14ac:dyDescent="0.25">
      <c r="A496" s="25" t="s">
        <v>1810</v>
      </c>
      <c r="B496" s="43" t="s">
        <v>1811</v>
      </c>
      <c r="C496" s="44">
        <v>7726437900</v>
      </c>
    </row>
    <row r="497" spans="1:3" x14ac:dyDescent="0.25">
      <c r="A497" s="25" t="s">
        <v>1812</v>
      </c>
      <c r="B497" s="43" t="s">
        <v>1813</v>
      </c>
      <c r="C497" s="44">
        <v>210500590906</v>
      </c>
    </row>
    <row r="498" spans="1:3" x14ac:dyDescent="0.25">
      <c r="A498" s="25" t="s">
        <v>1814</v>
      </c>
      <c r="B498" s="43" t="s">
        <v>1815</v>
      </c>
      <c r="C498" s="44">
        <v>3662052729</v>
      </c>
    </row>
    <row r="499" spans="1:3" x14ac:dyDescent="0.25">
      <c r="A499" s="25" t="s">
        <v>1816</v>
      </c>
      <c r="B499" s="43" t="s">
        <v>1817</v>
      </c>
      <c r="C499" s="44">
        <v>9721010594</v>
      </c>
    </row>
    <row r="500" spans="1:3" x14ac:dyDescent="0.25">
      <c r="A500" s="25" t="s">
        <v>1818</v>
      </c>
      <c r="B500" s="43" t="s">
        <v>1819</v>
      </c>
      <c r="C500" s="44">
        <v>6312174204</v>
      </c>
    </row>
    <row r="501" spans="1:3" x14ac:dyDescent="0.25">
      <c r="A501" s="25" t="s">
        <v>1820</v>
      </c>
      <c r="B501" s="43" t="s">
        <v>1821</v>
      </c>
      <c r="C501" s="44">
        <v>165504812562</v>
      </c>
    </row>
    <row r="502" spans="1:3" x14ac:dyDescent="0.25">
      <c r="A502" s="25" t="s">
        <v>1822</v>
      </c>
      <c r="B502" s="43" t="s">
        <v>1822</v>
      </c>
      <c r="C502" s="44">
        <v>165036973074</v>
      </c>
    </row>
    <row r="503" spans="1:3" x14ac:dyDescent="0.25">
      <c r="A503" s="25" t="s">
        <v>1823</v>
      </c>
      <c r="B503" s="43" t="s">
        <v>1824</v>
      </c>
      <c r="C503" s="44">
        <v>6454132312</v>
      </c>
    </row>
    <row r="504" spans="1:3" x14ac:dyDescent="0.25">
      <c r="A504" s="25" t="s">
        <v>1825</v>
      </c>
      <c r="B504" s="43" t="s">
        <v>1826</v>
      </c>
      <c r="C504" s="44">
        <v>7733805552</v>
      </c>
    </row>
    <row r="505" spans="1:3" x14ac:dyDescent="0.25">
      <c r="A505" s="25" t="s">
        <v>1827</v>
      </c>
      <c r="B505" s="43" t="s">
        <v>1828</v>
      </c>
      <c r="C505" s="44">
        <v>1650187679</v>
      </c>
    </row>
    <row r="506" spans="1:3" x14ac:dyDescent="0.25">
      <c r="A506" s="25" t="s">
        <v>1829</v>
      </c>
      <c r="B506" s="43" t="s">
        <v>1830</v>
      </c>
      <c r="C506" s="44">
        <v>7740000076</v>
      </c>
    </row>
    <row r="507" spans="1:3" x14ac:dyDescent="0.25">
      <c r="A507" s="25" t="s">
        <v>1831</v>
      </c>
      <c r="B507" s="43" t="s">
        <v>1832</v>
      </c>
      <c r="C507" s="44">
        <v>165044586544</v>
      </c>
    </row>
    <row r="508" spans="1:3" x14ac:dyDescent="0.25">
      <c r="A508" s="25" t="s">
        <v>1833</v>
      </c>
      <c r="B508" s="25" t="s">
        <v>1834</v>
      </c>
      <c r="C508" s="45"/>
    </row>
    <row r="509" spans="1:3" x14ac:dyDescent="0.25">
      <c r="A509" s="25" t="s">
        <v>1835</v>
      </c>
      <c r="B509" s="25" t="s">
        <v>1836</v>
      </c>
      <c r="C509" s="45">
        <v>662331005368</v>
      </c>
    </row>
    <row r="510" spans="1:3" x14ac:dyDescent="0.25">
      <c r="A510" s="25" t="s">
        <v>1837</v>
      </c>
      <c r="B510" s="25" t="s">
        <v>1838</v>
      </c>
      <c r="C510" s="45">
        <v>165900607510</v>
      </c>
    </row>
    <row r="511" spans="1:3" x14ac:dyDescent="0.25">
      <c r="A511" s="25" t="s">
        <v>1839</v>
      </c>
      <c r="B511" s="25" t="s">
        <v>1840</v>
      </c>
      <c r="C511" s="45">
        <v>1655080792</v>
      </c>
    </row>
    <row r="512" spans="1:3" x14ac:dyDescent="0.25">
      <c r="A512" s="25" t="s">
        <v>1841</v>
      </c>
      <c r="B512" s="25" t="s">
        <v>1842</v>
      </c>
      <c r="C512" s="45">
        <v>1216010765</v>
      </c>
    </row>
    <row r="513" spans="1:3" x14ac:dyDescent="0.25">
      <c r="A513" s="25" t="s">
        <v>1843</v>
      </c>
      <c r="B513" s="25" t="s">
        <v>1843</v>
      </c>
      <c r="C513" s="45">
        <v>165054282506</v>
      </c>
    </row>
    <row r="514" spans="1:3" x14ac:dyDescent="0.25">
      <c r="A514" s="25" t="s">
        <v>1844</v>
      </c>
      <c r="B514" s="25" t="s">
        <v>1845</v>
      </c>
      <c r="C514" s="45">
        <v>1650153817</v>
      </c>
    </row>
    <row r="515" spans="1:3" x14ac:dyDescent="0.25">
      <c r="A515" s="25" t="s">
        <v>1846</v>
      </c>
      <c r="B515" s="25" t="s">
        <v>1847</v>
      </c>
      <c r="C515" s="45">
        <v>164606421245</v>
      </c>
    </row>
    <row r="516" spans="1:3" x14ac:dyDescent="0.25">
      <c r="A516" s="25" t="s">
        <v>1848</v>
      </c>
      <c r="B516" s="25" t="s">
        <v>1849</v>
      </c>
      <c r="C516" s="45">
        <v>1650110482</v>
      </c>
    </row>
    <row r="517" spans="1:3" x14ac:dyDescent="0.25">
      <c r="A517" s="25" t="s">
        <v>1850</v>
      </c>
      <c r="B517" s="25" t="s">
        <v>1851</v>
      </c>
      <c r="C517" s="45">
        <v>7723493030</v>
      </c>
    </row>
    <row r="518" spans="1:3" x14ac:dyDescent="0.25">
      <c r="A518" s="25" t="s">
        <v>1852</v>
      </c>
      <c r="B518" s="25" t="s">
        <v>1853</v>
      </c>
      <c r="C518" s="45">
        <v>1660013417</v>
      </c>
    </row>
    <row r="519" spans="1:3" x14ac:dyDescent="0.25">
      <c r="A519" s="25" t="s">
        <v>1854</v>
      </c>
      <c r="B519" s="25" t="s">
        <v>1855</v>
      </c>
      <c r="C519" s="45">
        <v>1657023630</v>
      </c>
    </row>
    <row r="520" spans="1:3" x14ac:dyDescent="0.25">
      <c r="A520" s="25" t="s">
        <v>1856</v>
      </c>
      <c r="B520" s="25" t="s">
        <v>1857</v>
      </c>
      <c r="C520" s="45">
        <v>1655243207</v>
      </c>
    </row>
    <row r="521" spans="1:3" x14ac:dyDescent="0.25">
      <c r="A521" s="25" t="s">
        <v>1858</v>
      </c>
      <c r="B521" s="25" t="s">
        <v>1859</v>
      </c>
      <c r="C521" s="45">
        <v>1660238629</v>
      </c>
    </row>
    <row r="522" spans="1:3" x14ac:dyDescent="0.25">
      <c r="A522" s="25" t="s">
        <v>1860</v>
      </c>
      <c r="B522" s="25" t="s">
        <v>1861</v>
      </c>
      <c r="C522" s="45">
        <v>7718084426</v>
      </c>
    </row>
    <row r="523" spans="1:3" x14ac:dyDescent="0.25">
      <c r="A523" s="25" t="s">
        <v>1862</v>
      </c>
      <c r="B523" s="25" t="s">
        <v>1863</v>
      </c>
      <c r="C523" s="45">
        <v>1434024359</v>
      </c>
    </row>
    <row r="524" spans="1:3" x14ac:dyDescent="0.25">
      <c r="A524" s="25" t="s">
        <v>1864</v>
      </c>
      <c r="B524" s="25" t="s">
        <v>1865</v>
      </c>
      <c r="C524" s="45">
        <v>1604008646</v>
      </c>
    </row>
    <row r="525" spans="1:3" x14ac:dyDescent="0.25">
      <c r="A525" s="25" t="s">
        <v>1866</v>
      </c>
      <c r="B525" s="25" t="s">
        <v>1867</v>
      </c>
      <c r="C525" s="45">
        <v>6230110400</v>
      </c>
    </row>
    <row r="526" spans="1:3" x14ac:dyDescent="0.25">
      <c r="A526" s="25" t="s">
        <v>337</v>
      </c>
      <c r="B526" s="25" t="s">
        <v>337</v>
      </c>
      <c r="C526" s="45">
        <v>120303063630</v>
      </c>
    </row>
    <row r="527" spans="1:3" x14ac:dyDescent="0.25">
      <c r="A527" s="25" t="s">
        <v>1868</v>
      </c>
      <c r="B527" s="25" t="s">
        <v>1869</v>
      </c>
      <c r="C527" s="45">
        <v>7811076476</v>
      </c>
    </row>
    <row r="528" spans="1:3" x14ac:dyDescent="0.25">
      <c r="A528" s="25" t="s">
        <v>1870</v>
      </c>
      <c r="B528" s="25" t="s">
        <v>1871</v>
      </c>
      <c r="C528" s="45">
        <v>1655189422</v>
      </c>
    </row>
    <row r="529" spans="1:3" x14ac:dyDescent="0.25">
      <c r="A529" s="25" t="s">
        <v>1872</v>
      </c>
      <c r="B529" s="25" t="s">
        <v>1873</v>
      </c>
      <c r="C529" s="45">
        <v>1651057954</v>
      </c>
    </row>
    <row r="530" spans="1:3" x14ac:dyDescent="0.25">
      <c r="A530" s="25" t="s">
        <v>1874</v>
      </c>
      <c r="B530" s="25" t="s">
        <v>1875</v>
      </c>
      <c r="C530" s="45">
        <v>1630005585</v>
      </c>
    </row>
    <row r="531" spans="1:3" x14ac:dyDescent="0.25">
      <c r="A531" s="25" t="s">
        <v>1876</v>
      </c>
      <c r="B531" s="25" t="s">
        <v>1877</v>
      </c>
      <c r="C531" s="45">
        <v>1651000010</v>
      </c>
    </row>
    <row r="532" spans="1:3" x14ac:dyDescent="0.25">
      <c r="A532" s="25" t="s">
        <v>1878</v>
      </c>
      <c r="B532" s="25" t="s">
        <v>1879</v>
      </c>
      <c r="C532" s="45">
        <v>1650069700</v>
      </c>
    </row>
    <row r="533" spans="1:3" x14ac:dyDescent="0.25">
      <c r="A533" s="25" t="s">
        <v>1880</v>
      </c>
      <c r="B533" s="25" t="s">
        <v>1881</v>
      </c>
      <c r="C533" s="45">
        <v>601101377114</v>
      </c>
    </row>
    <row r="534" spans="1:3" x14ac:dyDescent="0.25">
      <c r="A534" s="25" t="s">
        <v>1882</v>
      </c>
      <c r="B534" s="25" t="s">
        <v>1883</v>
      </c>
      <c r="C534" s="45">
        <v>5261077695</v>
      </c>
    </row>
    <row r="535" spans="1:3" x14ac:dyDescent="0.25">
      <c r="A535" s="25" t="s">
        <v>1884</v>
      </c>
      <c r="B535" s="25" t="s">
        <v>1885</v>
      </c>
      <c r="C535" s="45">
        <v>1657048040</v>
      </c>
    </row>
    <row r="536" spans="1:3" x14ac:dyDescent="0.25">
      <c r="A536" s="25" t="s">
        <v>1886</v>
      </c>
      <c r="B536" s="25" t="s">
        <v>1887</v>
      </c>
      <c r="C536" s="45">
        <v>6686054167</v>
      </c>
    </row>
    <row r="537" spans="1:3" x14ac:dyDescent="0.25">
      <c r="A537" s="25" t="s">
        <v>1888</v>
      </c>
      <c r="B537" s="25" t="s">
        <v>1889</v>
      </c>
      <c r="C537" s="45">
        <v>6318029972</v>
      </c>
    </row>
    <row r="538" spans="1:3" x14ac:dyDescent="0.25">
      <c r="A538" s="25" t="s">
        <v>1890</v>
      </c>
      <c r="B538" s="25" t="s">
        <v>1891</v>
      </c>
      <c r="C538" s="45">
        <v>1655357733</v>
      </c>
    </row>
    <row r="539" spans="1:3" x14ac:dyDescent="0.25">
      <c r="A539" s="25" t="s">
        <v>1892</v>
      </c>
      <c r="B539" s="25" t="s">
        <v>1893</v>
      </c>
      <c r="C539" s="45">
        <v>2457081355</v>
      </c>
    </row>
    <row r="540" spans="1:3" x14ac:dyDescent="0.25">
      <c r="A540" s="25" t="s">
        <v>1894</v>
      </c>
      <c r="B540" s="25" t="s">
        <v>1895</v>
      </c>
      <c r="C540" s="45">
        <v>7722108912</v>
      </c>
    </row>
    <row r="541" spans="1:3" x14ac:dyDescent="0.25">
      <c r="A541" s="25" t="s">
        <v>1896</v>
      </c>
      <c r="B541" s="25" t="s">
        <v>1897</v>
      </c>
      <c r="C541" s="45">
        <v>5402026992</v>
      </c>
    </row>
    <row r="542" spans="1:3" x14ac:dyDescent="0.25">
      <c r="A542" s="25" t="s">
        <v>1898</v>
      </c>
      <c r="B542" s="25" t="s">
        <v>1899</v>
      </c>
      <c r="C542" s="45">
        <v>2130204062</v>
      </c>
    </row>
    <row r="543" spans="1:3" x14ac:dyDescent="0.25">
      <c r="A543" s="25" t="s">
        <v>1900</v>
      </c>
      <c r="B543" s="25" t="s">
        <v>1901</v>
      </c>
      <c r="C543" s="45">
        <v>2124039318</v>
      </c>
    </row>
    <row r="544" spans="1:3" x14ac:dyDescent="0.25">
      <c r="A544" s="25" t="s">
        <v>1902</v>
      </c>
      <c r="B544" s="25" t="s">
        <v>1903</v>
      </c>
      <c r="C544" s="45">
        <v>5514015300</v>
      </c>
    </row>
    <row r="545" spans="1:3" x14ac:dyDescent="0.25">
      <c r="A545" s="25" t="s">
        <v>1904</v>
      </c>
      <c r="B545" s="25" t="s">
        <v>1905</v>
      </c>
      <c r="C545" s="45">
        <v>5254081010</v>
      </c>
    </row>
    <row r="546" spans="1:3" x14ac:dyDescent="0.25">
      <c r="A546" s="25" t="s">
        <v>1906</v>
      </c>
      <c r="B546" s="25" t="s">
        <v>1907</v>
      </c>
      <c r="C546" s="45">
        <v>5042056244</v>
      </c>
    </row>
    <row r="547" spans="1:3" x14ac:dyDescent="0.25">
      <c r="A547" s="25" t="s">
        <v>1908</v>
      </c>
      <c r="B547" s="25" t="s">
        <v>1909</v>
      </c>
      <c r="C547" s="45">
        <v>7107132531</v>
      </c>
    </row>
    <row r="548" spans="1:3" x14ac:dyDescent="0.25">
      <c r="A548" s="25" t="s">
        <v>1910</v>
      </c>
      <c r="B548" s="25" t="s">
        <v>1911</v>
      </c>
      <c r="C548" s="45">
        <v>7451307982</v>
      </c>
    </row>
    <row r="549" spans="1:3" x14ac:dyDescent="0.25">
      <c r="A549" s="25" t="s">
        <v>1912</v>
      </c>
      <c r="B549" s="25" t="s">
        <v>1913</v>
      </c>
      <c r="C549" s="45">
        <v>7743754057</v>
      </c>
    </row>
    <row r="550" spans="1:3" x14ac:dyDescent="0.25">
      <c r="A550" s="25" t="s">
        <v>1914</v>
      </c>
      <c r="B550" s="25" t="s">
        <v>1915</v>
      </c>
      <c r="C550" s="45">
        <v>7735092378</v>
      </c>
    </row>
    <row r="551" spans="1:3" x14ac:dyDescent="0.25">
      <c r="A551" s="25" t="s">
        <v>1916</v>
      </c>
      <c r="B551" s="25" t="s">
        <v>1917</v>
      </c>
      <c r="C551" s="45">
        <v>7709988048</v>
      </c>
    </row>
    <row r="552" spans="1:3" x14ac:dyDescent="0.25">
      <c r="A552" s="25" t="s">
        <v>1918</v>
      </c>
      <c r="B552" s="25" t="s">
        <v>1919</v>
      </c>
      <c r="C552" s="45">
        <v>5263136226</v>
      </c>
    </row>
    <row r="553" spans="1:3" x14ac:dyDescent="0.25">
      <c r="A553" s="25" t="s">
        <v>1920</v>
      </c>
      <c r="B553" s="25" t="s">
        <v>1921</v>
      </c>
      <c r="C553" s="45">
        <v>5259119147</v>
      </c>
    </row>
    <row r="554" spans="1:3" x14ac:dyDescent="0.25">
      <c r="A554" s="25" t="s">
        <v>1922</v>
      </c>
      <c r="B554" s="25" t="s">
        <v>1923</v>
      </c>
      <c r="C554" s="45">
        <v>1650050321</v>
      </c>
    </row>
    <row r="555" spans="1:3" x14ac:dyDescent="0.25">
      <c r="A555" s="25" t="s">
        <v>1924</v>
      </c>
      <c r="B555" s="25" t="s">
        <v>1925</v>
      </c>
      <c r="C555" s="45">
        <v>7723506384</v>
      </c>
    </row>
    <row r="556" spans="1:3" x14ac:dyDescent="0.25">
      <c r="A556" s="25" t="s">
        <v>1926</v>
      </c>
      <c r="B556" s="25" t="s">
        <v>1927</v>
      </c>
      <c r="C556" s="45">
        <v>1658192007</v>
      </c>
    </row>
    <row r="557" spans="1:3" x14ac:dyDescent="0.25">
      <c r="A557" s="25" t="s">
        <v>1928</v>
      </c>
      <c r="B557" s="25" t="s">
        <v>1929</v>
      </c>
      <c r="C557" s="45">
        <v>1650326315</v>
      </c>
    </row>
    <row r="558" spans="1:3" x14ac:dyDescent="0.25">
      <c r="A558" s="25" t="s">
        <v>1930</v>
      </c>
      <c r="B558" s="25" t="s">
        <v>1931</v>
      </c>
      <c r="C558" s="45">
        <v>504900060645</v>
      </c>
    </row>
    <row r="559" spans="1:3" x14ac:dyDescent="0.25">
      <c r="A559" s="25" t="s">
        <v>1932</v>
      </c>
      <c r="B559" s="25" t="s">
        <v>1933</v>
      </c>
      <c r="C559" s="45">
        <v>6670313095</v>
      </c>
    </row>
    <row r="560" spans="1:3" x14ac:dyDescent="0.25">
      <c r="A560" s="25" t="s">
        <v>1934</v>
      </c>
      <c r="B560" s="25" t="s">
        <v>1934</v>
      </c>
      <c r="C560" s="45">
        <v>165006832968</v>
      </c>
    </row>
    <row r="561" spans="1:3" x14ac:dyDescent="0.25">
      <c r="A561" s="25" t="s">
        <v>1935</v>
      </c>
      <c r="B561" s="25" t="s">
        <v>1935</v>
      </c>
      <c r="C561" s="45">
        <v>1655088826</v>
      </c>
    </row>
    <row r="562" spans="1:3" x14ac:dyDescent="0.25">
      <c r="A562" s="25" t="s">
        <v>1936</v>
      </c>
      <c r="B562" s="25" t="s">
        <v>1937</v>
      </c>
      <c r="C562" s="45">
        <v>1655088826</v>
      </c>
    </row>
    <row r="563" spans="1:3" x14ac:dyDescent="0.25">
      <c r="A563" s="25" t="s">
        <v>1938</v>
      </c>
      <c r="B563" s="25" t="s">
        <v>1938</v>
      </c>
      <c r="C563" s="45">
        <v>1655088826</v>
      </c>
    </row>
    <row r="564" spans="1:3" x14ac:dyDescent="0.25">
      <c r="A564" s="25" t="s">
        <v>1939</v>
      </c>
      <c r="B564" s="25" t="s">
        <v>1940</v>
      </c>
      <c r="C564" s="45">
        <v>7715151635</v>
      </c>
    </row>
    <row r="565" spans="1:3" x14ac:dyDescent="0.25">
      <c r="A565" s="25" t="s">
        <v>1941</v>
      </c>
      <c r="B565" s="25" t="s">
        <v>1942</v>
      </c>
      <c r="C565" s="45">
        <v>7706092528</v>
      </c>
    </row>
    <row r="566" spans="1:3" x14ac:dyDescent="0.25">
      <c r="A566" s="25" t="s">
        <v>1943</v>
      </c>
      <c r="B566" s="25" t="s">
        <v>1944</v>
      </c>
      <c r="C566" s="45">
        <v>7708699893</v>
      </c>
    </row>
    <row r="567" spans="1:3" x14ac:dyDescent="0.25">
      <c r="A567" s="25" t="s">
        <v>1945</v>
      </c>
      <c r="B567" s="25" t="s">
        <v>1946</v>
      </c>
      <c r="C567" s="45">
        <v>7719555477</v>
      </c>
    </row>
    <row r="568" spans="1:3" x14ac:dyDescent="0.25">
      <c r="A568" s="25" t="s">
        <v>1947</v>
      </c>
      <c r="B568" s="25" t="s">
        <v>1948</v>
      </c>
      <c r="C568" s="45">
        <v>1650078180</v>
      </c>
    </row>
    <row r="569" spans="1:3" x14ac:dyDescent="0.25">
      <c r="A569" s="25" t="s">
        <v>1949</v>
      </c>
      <c r="B569" s="25" t="s">
        <v>1950</v>
      </c>
      <c r="C569" s="45">
        <v>1650289247</v>
      </c>
    </row>
    <row r="570" spans="1:3" x14ac:dyDescent="0.25">
      <c r="A570" s="25" t="s">
        <v>1951</v>
      </c>
      <c r="B570" s="25" t="s">
        <v>1952</v>
      </c>
      <c r="C570" s="45">
        <v>2466244158</v>
      </c>
    </row>
    <row r="571" spans="1:3" x14ac:dyDescent="0.25">
      <c r="A571" s="25" t="s">
        <v>1953</v>
      </c>
      <c r="B571" s="25" t="s">
        <v>1954</v>
      </c>
      <c r="C571" s="45">
        <v>7720306059</v>
      </c>
    </row>
    <row r="572" spans="1:3" x14ac:dyDescent="0.25">
      <c r="A572" s="25" t="s">
        <v>1955</v>
      </c>
      <c r="B572" s="25" t="s">
        <v>1956</v>
      </c>
      <c r="C572" s="45">
        <v>5905300610</v>
      </c>
    </row>
    <row r="573" spans="1:3" x14ac:dyDescent="0.25">
      <c r="A573" s="25" t="s">
        <v>1957</v>
      </c>
      <c r="B573" s="25" t="s">
        <v>1958</v>
      </c>
      <c r="C573" s="45">
        <v>1655199607</v>
      </c>
    </row>
    <row r="574" spans="1:3" x14ac:dyDescent="0.25">
      <c r="A574" s="25" t="s">
        <v>647</v>
      </c>
      <c r="B574" s="25" t="s">
        <v>647</v>
      </c>
      <c r="C574" s="45">
        <v>165022328388</v>
      </c>
    </row>
    <row r="575" spans="1:3" x14ac:dyDescent="0.25">
      <c r="A575" s="25" t="s">
        <v>1959</v>
      </c>
      <c r="B575" s="25" t="s">
        <v>1960</v>
      </c>
      <c r="C575" s="45"/>
    </row>
    <row r="576" spans="1:3" x14ac:dyDescent="0.25">
      <c r="A576" s="25" t="s">
        <v>1961</v>
      </c>
      <c r="B576" s="25" t="s">
        <v>1962</v>
      </c>
      <c r="C576" s="45">
        <v>1650384620</v>
      </c>
    </row>
    <row r="577" spans="1:3" x14ac:dyDescent="0.25">
      <c r="A577" s="25" t="s">
        <v>1963</v>
      </c>
      <c r="B577" s="25" t="s">
        <v>1964</v>
      </c>
      <c r="C577" s="45">
        <v>1650190801</v>
      </c>
    </row>
    <row r="578" spans="1:3" x14ac:dyDescent="0.25">
      <c r="A578" s="25" t="s">
        <v>351</v>
      </c>
      <c r="B578" s="25" t="s">
        <v>351</v>
      </c>
      <c r="C578" s="45">
        <v>165018714542</v>
      </c>
    </row>
    <row r="579" spans="1:3" x14ac:dyDescent="0.25">
      <c r="A579" s="25" t="s">
        <v>1965</v>
      </c>
      <c r="B579" s="25" t="s">
        <v>1966</v>
      </c>
      <c r="C579" s="45">
        <v>1660018020</v>
      </c>
    </row>
    <row r="580" spans="1:3" x14ac:dyDescent="0.25">
      <c r="A580" s="25" t="s">
        <v>1967</v>
      </c>
      <c r="B580" s="25" t="s">
        <v>1968</v>
      </c>
      <c r="C580" s="45">
        <v>7802534232</v>
      </c>
    </row>
    <row r="581" spans="1:3" x14ac:dyDescent="0.25">
      <c r="A581" s="25" t="s">
        <v>1969</v>
      </c>
      <c r="B581" s="25" t="s">
        <v>1970</v>
      </c>
      <c r="C581" s="45">
        <v>5835060591</v>
      </c>
    </row>
    <row r="582" spans="1:3" x14ac:dyDescent="0.25">
      <c r="A582" s="25" t="s">
        <v>1971</v>
      </c>
      <c r="B582" s="25" t="s">
        <v>1972</v>
      </c>
      <c r="C582" s="45">
        <v>7842171112</v>
      </c>
    </row>
    <row r="583" spans="1:3" x14ac:dyDescent="0.25">
      <c r="A583" s="25" t="s">
        <v>1973</v>
      </c>
      <c r="B583" s="25" t="s">
        <v>1974</v>
      </c>
      <c r="C583" s="45">
        <v>7813596470</v>
      </c>
    </row>
    <row r="584" spans="1:3" x14ac:dyDescent="0.25">
      <c r="A584" s="25" t="s">
        <v>1975</v>
      </c>
      <c r="B584" s="25" t="s">
        <v>1976</v>
      </c>
      <c r="C584" s="45">
        <v>7814356432</v>
      </c>
    </row>
    <row r="585" spans="1:3" x14ac:dyDescent="0.25">
      <c r="A585" s="25" t="s">
        <v>1977</v>
      </c>
      <c r="B585" s="25" t="s">
        <v>1978</v>
      </c>
      <c r="C585" s="45"/>
    </row>
    <row r="586" spans="1:3" x14ac:dyDescent="0.25">
      <c r="A586" s="25" t="s">
        <v>1979</v>
      </c>
      <c r="B586" s="25" t="s">
        <v>1980</v>
      </c>
      <c r="C586" s="45">
        <v>1650164960</v>
      </c>
    </row>
    <row r="587" spans="1:3" x14ac:dyDescent="0.25">
      <c r="A587" s="25" t="s">
        <v>1981</v>
      </c>
      <c r="B587" s="25" t="s">
        <v>1982</v>
      </c>
      <c r="C587" s="45">
        <v>2127006832</v>
      </c>
    </row>
    <row r="588" spans="1:3" x14ac:dyDescent="0.25">
      <c r="A588" s="25" t="s">
        <v>1983</v>
      </c>
      <c r="B588" s="25" t="s">
        <v>1983</v>
      </c>
      <c r="C588" s="45">
        <v>165900482251</v>
      </c>
    </row>
    <row r="589" spans="1:3" x14ac:dyDescent="0.25">
      <c r="A589" s="25" t="s">
        <v>1984</v>
      </c>
      <c r="B589" s="25" t="s">
        <v>1984</v>
      </c>
      <c r="C589" s="45">
        <v>632506738200</v>
      </c>
    </row>
    <row r="590" spans="1:3" x14ac:dyDescent="0.25">
      <c r="A590" s="25" t="s">
        <v>1985</v>
      </c>
      <c r="B590" s="25" t="s">
        <v>1986</v>
      </c>
      <c r="C590" s="45">
        <v>7327084450</v>
      </c>
    </row>
    <row r="591" spans="1:3" x14ac:dyDescent="0.25">
      <c r="A591" s="25" t="s">
        <v>1987</v>
      </c>
      <c r="B591" s="25" t="s">
        <v>1988</v>
      </c>
      <c r="C591" s="45">
        <v>7840346247</v>
      </c>
    </row>
    <row r="592" spans="1:3" x14ac:dyDescent="0.25">
      <c r="A592" s="25" t="s">
        <v>1989</v>
      </c>
      <c r="B592" s="25" t="s">
        <v>1990</v>
      </c>
      <c r="C592" s="45">
        <v>1402046085</v>
      </c>
    </row>
    <row r="593" spans="1:3" x14ac:dyDescent="0.25">
      <c r="A593" s="25" t="s">
        <v>1991</v>
      </c>
      <c r="B593" s="25" t="s">
        <v>1992</v>
      </c>
      <c r="C593" s="45">
        <v>4906000960</v>
      </c>
    </row>
    <row r="594" spans="1:3" x14ac:dyDescent="0.25">
      <c r="A594" s="25" t="s">
        <v>1993</v>
      </c>
      <c r="B594" s="25" t="s">
        <v>1994</v>
      </c>
      <c r="C594" s="45">
        <v>3123323800</v>
      </c>
    </row>
    <row r="595" spans="1:3" x14ac:dyDescent="0.25">
      <c r="A595" s="25" t="s">
        <v>1995</v>
      </c>
      <c r="B595" s="25" t="s">
        <v>1995</v>
      </c>
      <c r="C595" s="45">
        <v>761103218914</v>
      </c>
    </row>
    <row r="596" spans="1:3" x14ac:dyDescent="0.25">
      <c r="A596" s="25" t="s">
        <v>1996</v>
      </c>
      <c r="B596" s="25" t="s">
        <v>1997</v>
      </c>
      <c r="C596" s="45">
        <v>3232005484</v>
      </c>
    </row>
    <row r="597" spans="1:3" x14ac:dyDescent="0.25">
      <c r="A597" s="25" t="s">
        <v>1998</v>
      </c>
      <c r="B597" s="25" t="s">
        <v>1999</v>
      </c>
      <c r="C597" s="45">
        <v>7724490000</v>
      </c>
    </row>
    <row r="598" spans="1:3" x14ac:dyDescent="0.25">
      <c r="A598" s="25" t="s">
        <v>2000</v>
      </c>
      <c r="B598" s="25" t="s">
        <v>2001</v>
      </c>
      <c r="C598" s="45">
        <v>7743036465</v>
      </c>
    </row>
    <row r="599" spans="1:3" x14ac:dyDescent="0.25">
      <c r="A599" s="25" t="s">
        <v>30</v>
      </c>
      <c r="B599" s="25" t="s">
        <v>30</v>
      </c>
      <c r="C599" s="45">
        <v>165012954266</v>
      </c>
    </row>
    <row r="600" spans="1:3" x14ac:dyDescent="0.25">
      <c r="A600" s="25" t="s">
        <v>2002</v>
      </c>
      <c r="B600" s="25" t="s">
        <v>2003</v>
      </c>
      <c r="C600" s="45">
        <v>7723763825</v>
      </c>
    </row>
    <row r="601" spans="1:3" x14ac:dyDescent="0.25">
      <c r="A601" s="25" t="s">
        <v>2004</v>
      </c>
      <c r="B601" s="25" t="s">
        <v>2005</v>
      </c>
      <c r="C601" s="45">
        <v>1659185620</v>
      </c>
    </row>
    <row r="602" spans="1:3" x14ac:dyDescent="0.25">
      <c r="A602" s="25" t="s">
        <v>2006</v>
      </c>
      <c r="B602" s="25" t="s">
        <v>2007</v>
      </c>
      <c r="C602" s="45">
        <v>7727178536</v>
      </c>
    </row>
    <row r="603" spans="1:3" x14ac:dyDescent="0.25">
      <c r="A603" s="25" t="s">
        <v>2008</v>
      </c>
      <c r="B603" s="25" t="s">
        <v>2009</v>
      </c>
      <c r="C603" s="45">
        <v>2130171441</v>
      </c>
    </row>
    <row r="604" spans="1:3" x14ac:dyDescent="0.25">
      <c r="A604" s="25" t="s">
        <v>2010</v>
      </c>
      <c r="B604" s="25" t="s">
        <v>2011</v>
      </c>
      <c r="C604" s="45">
        <v>2130081090</v>
      </c>
    </row>
    <row r="605" spans="1:3" x14ac:dyDescent="0.25">
      <c r="A605" s="25" t="s">
        <v>2012</v>
      </c>
      <c r="B605" s="25" t="s">
        <v>2013</v>
      </c>
      <c r="C605" s="45">
        <v>2130132837</v>
      </c>
    </row>
    <row r="606" spans="1:3" x14ac:dyDescent="0.25">
      <c r="A606" s="25" t="s">
        <v>2014</v>
      </c>
      <c r="B606" s="25" t="s">
        <v>2015</v>
      </c>
      <c r="C606" s="45">
        <v>3460071768</v>
      </c>
    </row>
    <row r="607" spans="1:3" x14ac:dyDescent="0.25">
      <c r="A607" s="25" t="s">
        <v>2016</v>
      </c>
      <c r="B607" s="25" t="s">
        <v>2017</v>
      </c>
      <c r="C607" s="45">
        <v>1655164509</v>
      </c>
    </row>
    <row r="608" spans="1:3" x14ac:dyDescent="0.25">
      <c r="A608" s="25" t="s">
        <v>2018</v>
      </c>
      <c r="B608" s="25" t="s">
        <v>2019</v>
      </c>
      <c r="C608" s="45">
        <v>6670220475</v>
      </c>
    </row>
    <row r="609" spans="1:3" x14ac:dyDescent="0.25">
      <c r="A609" s="25" t="s">
        <v>2020</v>
      </c>
      <c r="B609" s="25" t="s">
        <v>2021</v>
      </c>
      <c r="C609" s="45">
        <v>7735079338</v>
      </c>
    </row>
    <row r="610" spans="1:3" x14ac:dyDescent="0.25">
      <c r="A610" s="25" t="s">
        <v>2022</v>
      </c>
      <c r="B610" s="25" t="s">
        <v>2023</v>
      </c>
      <c r="C610" s="45">
        <v>5408235833</v>
      </c>
    </row>
    <row r="611" spans="1:3" x14ac:dyDescent="0.25">
      <c r="A611" s="25" t="s">
        <v>2024</v>
      </c>
      <c r="B611" s="25" t="s">
        <v>2025</v>
      </c>
      <c r="C611" s="45">
        <v>5433132528</v>
      </c>
    </row>
    <row r="612" spans="1:3" x14ac:dyDescent="0.25">
      <c r="A612" s="25" t="s">
        <v>2026</v>
      </c>
      <c r="B612" s="25" t="s">
        <v>2027</v>
      </c>
      <c r="C612" s="45">
        <v>5507093869</v>
      </c>
    </row>
    <row r="613" spans="1:3" x14ac:dyDescent="0.25">
      <c r="A613" s="25" t="s">
        <v>2028</v>
      </c>
      <c r="B613" s="25" t="s">
        <v>2029</v>
      </c>
      <c r="C613" s="45">
        <v>7719627499</v>
      </c>
    </row>
    <row r="614" spans="1:3" x14ac:dyDescent="0.25">
      <c r="A614" s="25" t="s">
        <v>2030</v>
      </c>
      <c r="B614" s="25" t="s">
        <v>2031</v>
      </c>
      <c r="C614" s="45">
        <v>7733328892</v>
      </c>
    </row>
    <row r="615" spans="1:3" x14ac:dyDescent="0.25">
      <c r="A615" s="25" t="s">
        <v>2032</v>
      </c>
      <c r="B615" s="25" t="s">
        <v>2033</v>
      </c>
      <c r="C615" s="45">
        <v>7744000912</v>
      </c>
    </row>
    <row r="616" spans="1:3" x14ac:dyDescent="0.25">
      <c r="A616" s="25" t="s">
        <v>2034</v>
      </c>
      <c r="B616" s="25" t="s">
        <v>2035</v>
      </c>
      <c r="C616" s="45">
        <v>1650305795</v>
      </c>
    </row>
    <row r="617" spans="1:3" x14ac:dyDescent="0.25">
      <c r="A617" s="25" t="s">
        <v>2036</v>
      </c>
      <c r="B617" s="25" t="s">
        <v>2037</v>
      </c>
      <c r="C617" s="45">
        <v>7451438544</v>
      </c>
    </row>
    <row r="618" spans="1:3" x14ac:dyDescent="0.25">
      <c r="A618" s="25" t="s">
        <v>2038</v>
      </c>
      <c r="B618" s="25" t="s">
        <v>2039</v>
      </c>
      <c r="C618" s="45">
        <v>7721756614</v>
      </c>
    </row>
    <row r="619" spans="1:3" x14ac:dyDescent="0.25">
      <c r="A619" s="25" t="s">
        <v>362</v>
      </c>
      <c r="B619" s="25" t="s">
        <v>362</v>
      </c>
      <c r="C619" s="45">
        <v>165030207700</v>
      </c>
    </row>
    <row r="620" spans="1:3" x14ac:dyDescent="0.25">
      <c r="A620" s="25" t="s">
        <v>2040</v>
      </c>
      <c r="B620" s="25" t="s">
        <v>2041</v>
      </c>
      <c r="C620" s="45">
        <v>6660149600</v>
      </c>
    </row>
    <row r="621" spans="1:3" x14ac:dyDescent="0.25">
      <c r="A621" s="25" t="s">
        <v>2042</v>
      </c>
      <c r="B621" s="25" t="s">
        <v>2043</v>
      </c>
      <c r="C621" s="45">
        <v>5753018373</v>
      </c>
    </row>
    <row r="622" spans="1:3" x14ac:dyDescent="0.25">
      <c r="A622" s="25" t="s">
        <v>2044</v>
      </c>
      <c r="B622" s="25" t="s">
        <v>2045</v>
      </c>
      <c r="C622" s="45">
        <v>5753018359</v>
      </c>
    </row>
    <row r="623" spans="1:3" x14ac:dyDescent="0.25">
      <c r="A623" s="25" t="s">
        <v>2046</v>
      </c>
      <c r="B623" s="25" t="s">
        <v>2047</v>
      </c>
      <c r="C623" s="45">
        <v>257995238</v>
      </c>
    </row>
    <row r="624" spans="1:3" x14ac:dyDescent="0.25">
      <c r="A624" s="25" t="s">
        <v>2048</v>
      </c>
      <c r="B624" s="25" t="s">
        <v>2049</v>
      </c>
      <c r="C624" s="45">
        <v>1660262406</v>
      </c>
    </row>
    <row r="625" spans="1:3" x14ac:dyDescent="0.25">
      <c r="A625" s="25" t="s">
        <v>2050</v>
      </c>
      <c r="B625" s="25" t="s">
        <v>2051</v>
      </c>
      <c r="C625" s="45">
        <v>1632014592</v>
      </c>
    </row>
    <row r="626" spans="1:3" x14ac:dyDescent="0.25">
      <c r="A626" s="25" t="s">
        <v>2052</v>
      </c>
      <c r="B626" s="25" t="s">
        <v>2053</v>
      </c>
      <c r="C626" s="45">
        <v>1660018020</v>
      </c>
    </row>
    <row r="627" spans="1:3" x14ac:dyDescent="0.25">
      <c r="A627" s="25" t="s">
        <v>2054</v>
      </c>
      <c r="B627" s="25" t="s">
        <v>2055</v>
      </c>
      <c r="C627" s="45">
        <v>7721772937</v>
      </c>
    </row>
    <row r="628" spans="1:3" x14ac:dyDescent="0.25">
      <c r="A628" s="25" t="s">
        <v>2056</v>
      </c>
      <c r="B628" s="25" t="s">
        <v>2057</v>
      </c>
      <c r="C628" s="45">
        <v>1650295681</v>
      </c>
    </row>
    <row r="629" spans="1:3" x14ac:dyDescent="0.25">
      <c r="A629" s="25" t="s">
        <v>2058</v>
      </c>
      <c r="B629" s="25" t="s">
        <v>2059</v>
      </c>
      <c r="C629" s="45">
        <v>7810216025</v>
      </c>
    </row>
    <row r="630" spans="1:3" x14ac:dyDescent="0.25">
      <c r="A630" s="25" t="s">
        <v>2060</v>
      </c>
      <c r="B630" s="25" t="s">
        <v>2061</v>
      </c>
      <c r="C630" s="45">
        <v>7721823853</v>
      </c>
    </row>
    <row r="631" spans="1:3" x14ac:dyDescent="0.25">
      <c r="A631" s="25" t="s">
        <v>2062</v>
      </c>
      <c r="B631" s="25" t="s">
        <v>2063</v>
      </c>
      <c r="C631" s="45">
        <v>7723427407</v>
      </c>
    </row>
    <row r="632" spans="1:3" x14ac:dyDescent="0.25">
      <c r="A632" s="25" t="s">
        <v>2064</v>
      </c>
      <c r="B632" s="25" t="s">
        <v>2065</v>
      </c>
      <c r="C632" s="45">
        <v>1660155764</v>
      </c>
    </row>
    <row r="633" spans="1:3" x14ac:dyDescent="0.25">
      <c r="A633" s="46" t="s">
        <v>2066</v>
      </c>
      <c r="B633" s="46" t="s">
        <v>2067</v>
      </c>
      <c r="C633" s="47">
        <v>7735100332</v>
      </c>
    </row>
    <row r="634" spans="1:3" x14ac:dyDescent="0.25">
      <c r="A634" s="46" t="s">
        <v>2068</v>
      </c>
      <c r="B634" s="46" t="s">
        <v>2069</v>
      </c>
      <c r="C634" s="47">
        <v>1650118153</v>
      </c>
    </row>
    <row r="635" spans="1:3" x14ac:dyDescent="0.25">
      <c r="A635" s="46" t="s">
        <v>365</v>
      </c>
      <c r="B635" s="46" t="s">
        <v>365</v>
      </c>
      <c r="C635" s="47">
        <v>164606716619</v>
      </c>
    </row>
    <row r="636" spans="1:3" x14ac:dyDescent="0.25">
      <c r="A636" s="46" t="s">
        <v>2070</v>
      </c>
      <c r="B636" s="46" t="s">
        <v>2071</v>
      </c>
      <c r="C636" s="47">
        <v>7744000302</v>
      </c>
    </row>
    <row r="637" spans="1:3" x14ac:dyDescent="0.25">
      <c r="A637" s="46" t="s">
        <v>2072</v>
      </c>
      <c r="B637" s="46" t="s">
        <v>2073</v>
      </c>
      <c r="C637" s="47">
        <v>7812041998</v>
      </c>
    </row>
    <row r="638" spans="1:3" x14ac:dyDescent="0.25">
      <c r="A638" s="46" t="s">
        <v>2074</v>
      </c>
      <c r="B638" s="46" t="s">
        <v>2075</v>
      </c>
      <c r="C638" s="47">
        <v>7805446129</v>
      </c>
    </row>
    <row r="639" spans="1:3" x14ac:dyDescent="0.25">
      <c r="A639" s="46" t="s">
        <v>2076</v>
      </c>
      <c r="B639" s="46" t="s">
        <v>2076</v>
      </c>
      <c r="C639" s="47">
        <v>165032773412</v>
      </c>
    </row>
    <row r="640" spans="1:3" x14ac:dyDescent="0.25">
      <c r="A640" s="46" t="s">
        <v>2077</v>
      </c>
      <c r="B640" s="46" t="s">
        <v>2078</v>
      </c>
      <c r="C640" s="47">
        <v>5018000272</v>
      </c>
    </row>
    <row r="641" spans="1:3" x14ac:dyDescent="0.25">
      <c r="A641" s="46" t="s">
        <v>2079</v>
      </c>
      <c r="B641" s="46" t="s">
        <v>2080</v>
      </c>
      <c r="C641" s="47">
        <v>7729050901</v>
      </c>
    </row>
    <row r="642" spans="1:3" x14ac:dyDescent="0.25">
      <c r="A642" s="46" t="s">
        <v>2081</v>
      </c>
      <c r="B642" s="46" t="s">
        <v>2082</v>
      </c>
      <c r="C642" s="47">
        <v>9731024483</v>
      </c>
    </row>
    <row r="643" spans="1:3" x14ac:dyDescent="0.25">
      <c r="A643" s="46" t="s">
        <v>2083</v>
      </c>
      <c r="B643" s="46" t="s">
        <v>2084</v>
      </c>
      <c r="C643" s="47">
        <v>1639012770</v>
      </c>
    </row>
    <row r="644" spans="1:3" x14ac:dyDescent="0.25">
      <c r="A644" s="46" t="s">
        <v>2085</v>
      </c>
      <c r="B644" s="46" t="s">
        <v>2086</v>
      </c>
      <c r="C644" s="47">
        <v>3801002781</v>
      </c>
    </row>
    <row r="645" spans="1:3" x14ac:dyDescent="0.25">
      <c r="A645" s="46" t="s">
        <v>2087</v>
      </c>
      <c r="B645" s="46" t="s">
        <v>2088</v>
      </c>
      <c r="C645" s="47">
        <v>7728599583</v>
      </c>
    </row>
    <row r="646" spans="1:3" x14ac:dyDescent="0.25">
      <c r="A646" s="46" t="s">
        <v>2089</v>
      </c>
      <c r="B646" s="46" t="s">
        <v>2090</v>
      </c>
      <c r="C646" s="47">
        <v>1657056442</v>
      </c>
    </row>
    <row r="647" spans="1:3" x14ac:dyDescent="0.25">
      <c r="A647" s="46" t="s">
        <v>2091</v>
      </c>
      <c r="B647" s="46" t="s">
        <v>2092</v>
      </c>
      <c r="C647" s="47">
        <v>7203221093</v>
      </c>
    </row>
    <row r="648" spans="1:3" x14ac:dyDescent="0.25">
      <c r="A648" s="46" t="s">
        <v>2093</v>
      </c>
      <c r="B648" s="46" t="s">
        <v>2094</v>
      </c>
      <c r="C648" s="47">
        <v>7203386715</v>
      </c>
    </row>
    <row r="649" spans="1:3" x14ac:dyDescent="0.25">
      <c r="A649" s="46" t="s">
        <v>2095</v>
      </c>
      <c r="B649" s="46" t="s">
        <v>2096</v>
      </c>
      <c r="C649" s="47">
        <v>7733568767</v>
      </c>
    </row>
    <row r="650" spans="1:3" x14ac:dyDescent="0.25">
      <c r="A650" s="46" t="s">
        <v>2097</v>
      </c>
      <c r="B650" s="46" t="s">
        <v>2098</v>
      </c>
      <c r="C650" s="47">
        <v>6677010893</v>
      </c>
    </row>
    <row r="651" spans="1:3" x14ac:dyDescent="0.25">
      <c r="A651" s="46" t="s">
        <v>2099</v>
      </c>
      <c r="B651" s="46" t="s">
        <v>2100</v>
      </c>
      <c r="C651" s="47">
        <v>7720772420</v>
      </c>
    </row>
    <row r="652" spans="1:3" x14ac:dyDescent="0.25">
      <c r="A652" s="46" t="s">
        <v>2101</v>
      </c>
      <c r="B652" s="46" t="s">
        <v>2102</v>
      </c>
      <c r="C652" s="47">
        <v>1653004066</v>
      </c>
    </row>
    <row r="653" spans="1:3" x14ac:dyDescent="0.25">
      <c r="A653" s="46" t="s">
        <v>2103</v>
      </c>
      <c r="B653" s="46" t="s">
        <v>2103</v>
      </c>
      <c r="C653" s="47">
        <v>1659065749</v>
      </c>
    </row>
    <row r="654" spans="1:3" x14ac:dyDescent="0.25">
      <c r="A654" s="46" t="s">
        <v>2104</v>
      </c>
      <c r="B654" s="46" t="s">
        <v>2105</v>
      </c>
      <c r="C654" s="47">
        <v>1655061285</v>
      </c>
    </row>
    <row r="655" spans="1:3" x14ac:dyDescent="0.25">
      <c r="A655" s="46" t="s">
        <v>2106</v>
      </c>
      <c r="B655" s="46" t="s">
        <v>2107</v>
      </c>
      <c r="C655" s="47">
        <v>7718640881</v>
      </c>
    </row>
    <row r="656" spans="1:3" x14ac:dyDescent="0.25">
      <c r="A656" s="46" t="s">
        <v>2108</v>
      </c>
      <c r="B656" s="46" t="s">
        <v>2109</v>
      </c>
      <c r="C656" s="47">
        <v>1650277562</v>
      </c>
    </row>
    <row r="657" spans="1:3" x14ac:dyDescent="0.25">
      <c r="A657" s="46" t="s">
        <v>2110</v>
      </c>
      <c r="B657" s="46" t="s">
        <v>2111</v>
      </c>
      <c r="C657" s="47">
        <v>1650000070</v>
      </c>
    </row>
    <row r="658" spans="1:3" x14ac:dyDescent="0.25">
      <c r="A658" s="46" t="s">
        <v>2112</v>
      </c>
      <c r="B658" s="46" t="s">
        <v>2113</v>
      </c>
      <c r="C658" s="47">
        <v>1650310795</v>
      </c>
    </row>
    <row r="659" spans="1:3" x14ac:dyDescent="0.25">
      <c r="A659" s="46" t="s">
        <v>2114</v>
      </c>
      <c r="B659" s="46" t="s">
        <v>2115</v>
      </c>
      <c r="C659" s="47">
        <v>7801243858</v>
      </c>
    </row>
    <row r="660" spans="1:3" x14ac:dyDescent="0.25">
      <c r="A660" s="46" t="s">
        <v>2116</v>
      </c>
      <c r="B660" s="46" t="s">
        <v>2117</v>
      </c>
      <c r="C660" s="47">
        <v>1660186829</v>
      </c>
    </row>
    <row r="661" spans="1:3" x14ac:dyDescent="0.25">
      <c r="A661" s="46" t="s">
        <v>2118</v>
      </c>
      <c r="B661" s="46" t="s">
        <v>2119</v>
      </c>
      <c r="C661" s="47">
        <v>7710045520</v>
      </c>
    </row>
    <row r="662" spans="1:3" x14ac:dyDescent="0.25">
      <c r="A662" s="46" t="s">
        <v>2120</v>
      </c>
      <c r="B662" s="46" t="s">
        <v>2121</v>
      </c>
      <c r="C662" s="47">
        <v>1650097658</v>
      </c>
    </row>
    <row r="663" spans="1:3" x14ac:dyDescent="0.25">
      <c r="A663" s="46" t="s">
        <v>2122</v>
      </c>
      <c r="B663" s="46" t="s">
        <v>2123</v>
      </c>
      <c r="C663" s="47">
        <v>6234059089</v>
      </c>
    </row>
    <row r="664" spans="1:3" x14ac:dyDescent="0.25">
      <c r="A664" s="46" t="s">
        <v>2124</v>
      </c>
      <c r="B664" s="46" t="s">
        <v>2125</v>
      </c>
      <c r="C664" s="47">
        <v>1655181663</v>
      </c>
    </row>
    <row r="665" spans="1:3" x14ac:dyDescent="0.25">
      <c r="A665" s="46" t="s">
        <v>2126</v>
      </c>
      <c r="B665" s="46" t="s">
        <v>2127</v>
      </c>
      <c r="C665" s="47">
        <v>7708503727</v>
      </c>
    </row>
    <row r="666" spans="1:3" x14ac:dyDescent="0.25">
      <c r="A666" s="46" t="s">
        <v>2128</v>
      </c>
      <c r="B666" s="46" t="s">
        <v>2129</v>
      </c>
      <c r="C666" s="47">
        <v>1627006860</v>
      </c>
    </row>
    <row r="667" spans="1:3" x14ac:dyDescent="0.25">
      <c r="A667" s="46" t="s">
        <v>2130</v>
      </c>
      <c r="B667" s="46" t="s">
        <v>2131</v>
      </c>
      <c r="C667" s="47">
        <v>6234114269</v>
      </c>
    </row>
    <row r="668" spans="1:3" x14ac:dyDescent="0.25">
      <c r="A668" s="46" t="s">
        <v>2132</v>
      </c>
      <c r="B668" s="46" t="s">
        <v>2133</v>
      </c>
      <c r="C668" s="47">
        <v>7017265329</v>
      </c>
    </row>
    <row r="669" spans="1:3" x14ac:dyDescent="0.25">
      <c r="A669" s="46" t="s">
        <v>2134</v>
      </c>
      <c r="B669" s="46" t="s">
        <v>2135</v>
      </c>
      <c r="C669" s="47">
        <v>7706757331</v>
      </c>
    </row>
    <row r="670" spans="1:3" x14ac:dyDescent="0.25">
      <c r="A670" s="46" t="s">
        <v>2136</v>
      </c>
      <c r="B670" s="46" t="s">
        <v>2137</v>
      </c>
      <c r="C670" s="47">
        <v>7706757331</v>
      </c>
    </row>
    <row r="671" spans="1:3" x14ac:dyDescent="0.25">
      <c r="A671" s="46" t="s">
        <v>2138</v>
      </c>
      <c r="B671" s="46" t="s">
        <v>2139</v>
      </c>
      <c r="C671" s="47">
        <v>7716218811</v>
      </c>
    </row>
    <row r="672" spans="1:3" x14ac:dyDescent="0.25">
      <c r="A672" s="46" t="s">
        <v>2140</v>
      </c>
      <c r="B672" s="46" t="s">
        <v>2141</v>
      </c>
      <c r="C672" s="47">
        <v>165012774344</v>
      </c>
    </row>
    <row r="673" spans="1:3" x14ac:dyDescent="0.25">
      <c r="A673" s="46" t="s">
        <v>2142</v>
      </c>
      <c r="B673" s="46" t="s">
        <v>2143</v>
      </c>
      <c r="C673" s="47">
        <v>7730060164</v>
      </c>
    </row>
    <row r="674" spans="1:3" x14ac:dyDescent="0.25">
      <c r="A674" s="46" t="s">
        <v>2144</v>
      </c>
      <c r="B674" s="46" t="s">
        <v>2145</v>
      </c>
      <c r="C674" s="47">
        <v>4719015564</v>
      </c>
    </row>
    <row r="675" spans="1:3" x14ac:dyDescent="0.25">
      <c r="A675" s="46" t="s">
        <v>2146</v>
      </c>
      <c r="B675" s="46" t="s">
        <v>2147</v>
      </c>
      <c r="C675" s="47">
        <v>7727004530</v>
      </c>
    </row>
    <row r="676" spans="1:3" x14ac:dyDescent="0.25">
      <c r="A676" s="46" t="s">
        <v>2148</v>
      </c>
      <c r="B676" s="46" t="s">
        <v>2149</v>
      </c>
      <c r="C676" s="47">
        <v>5904106521</v>
      </c>
    </row>
    <row r="677" spans="1:3" x14ac:dyDescent="0.25">
      <c r="A677" s="46" t="s">
        <v>2150</v>
      </c>
      <c r="B677" s="46" t="s">
        <v>2151</v>
      </c>
      <c r="C677" s="47">
        <v>7838430413</v>
      </c>
    </row>
    <row r="678" spans="1:3" x14ac:dyDescent="0.25">
      <c r="A678" s="46" t="s">
        <v>2152</v>
      </c>
      <c r="B678" s="46" t="s">
        <v>2153</v>
      </c>
      <c r="C678" s="47">
        <v>6659202137</v>
      </c>
    </row>
    <row r="679" spans="1:3" x14ac:dyDescent="0.25">
      <c r="A679" s="46" t="s">
        <v>2154</v>
      </c>
      <c r="B679" s="46" t="s">
        <v>2155</v>
      </c>
      <c r="C679" s="47">
        <v>7705915881</v>
      </c>
    </row>
    <row r="680" spans="1:3" x14ac:dyDescent="0.25">
      <c r="A680" s="46" t="s">
        <v>2156</v>
      </c>
      <c r="B680" s="46" t="s">
        <v>2157</v>
      </c>
      <c r="C680" s="47">
        <v>1656054971</v>
      </c>
    </row>
    <row r="681" spans="1:3" x14ac:dyDescent="0.25">
      <c r="A681" s="46" t="s">
        <v>2158</v>
      </c>
      <c r="B681" s="46" t="s">
        <v>2159</v>
      </c>
      <c r="C681" s="47">
        <v>9705125020</v>
      </c>
    </row>
    <row r="682" spans="1:3" x14ac:dyDescent="0.25">
      <c r="A682" s="46" t="s">
        <v>2160</v>
      </c>
      <c r="B682" s="46" t="s">
        <v>2161</v>
      </c>
      <c r="C682" s="47">
        <v>1650333714</v>
      </c>
    </row>
    <row r="683" spans="1:3" x14ac:dyDescent="0.25">
      <c r="A683" s="46" t="s">
        <v>2162</v>
      </c>
      <c r="B683" s="46" t="s">
        <v>2163</v>
      </c>
      <c r="C683" s="47">
        <v>1654039696</v>
      </c>
    </row>
    <row r="684" spans="1:3" x14ac:dyDescent="0.25">
      <c r="A684" s="46" t="s">
        <v>2164</v>
      </c>
      <c r="B684" s="46" t="s">
        <v>2165</v>
      </c>
      <c r="C684" s="47">
        <v>7710357167</v>
      </c>
    </row>
    <row r="685" spans="1:3" x14ac:dyDescent="0.25">
      <c r="A685" s="46" t="s">
        <v>2166</v>
      </c>
      <c r="B685" s="46" t="s">
        <v>2167</v>
      </c>
      <c r="C685" s="47">
        <v>165003820989</v>
      </c>
    </row>
    <row r="686" spans="1:3" x14ac:dyDescent="0.25">
      <c r="A686" s="46" t="s">
        <v>2168</v>
      </c>
      <c r="B686" s="46" t="s">
        <v>2169</v>
      </c>
      <c r="C686" s="47">
        <v>7801325780</v>
      </c>
    </row>
    <row r="687" spans="1:3" x14ac:dyDescent="0.25">
      <c r="A687" s="46" t="s">
        <v>2170</v>
      </c>
      <c r="B687" s="46" t="s">
        <v>2171</v>
      </c>
      <c r="C687" s="47">
        <v>6612005052</v>
      </c>
    </row>
    <row r="688" spans="1:3" x14ac:dyDescent="0.25">
      <c r="A688" s="46" t="s">
        <v>2172</v>
      </c>
      <c r="B688" s="46" t="s">
        <v>2173</v>
      </c>
      <c r="C688" s="47">
        <v>6612005052</v>
      </c>
    </row>
    <row r="689" spans="1:3" x14ac:dyDescent="0.25">
      <c r="A689" s="46" t="s">
        <v>2174</v>
      </c>
      <c r="B689" s="46" t="s">
        <v>2175</v>
      </c>
      <c r="C689" s="47">
        <v>7719608810</v>
      </c>
    </row>
    <row r="690" spans="1:3" x14ac:dyDescent="0.25">
      <c r="A690" s="46" t="s">
        <v>2176</v>
      </c>
      <c r="B690" s="46" t="s">
        <v>2177</v>
      </c>
      <c r="C690" s="47">
        <v>1006013150</v>
      </c>
    </row>
    <row r="691" spans="1:3" x14ac:dyDescent="0.25">
      <c r="A691" s="46" t="s">
        <v>2178</v>
      </c>
      <c r="B691" s="46" t="s">
        <v>2179</v>
      </c>
      <c r="C691" s="47">
        <v>3123457402</v>
      </c>
    </row>
    <row r="692" spans="1:3" x14ac:dyDescent="0.25">
      <c r="A692" s="46" t="s">
        <v>2180</v>
      </c>
      <c r="B692" s="46" t="s">
        <v>2181</v>
      </c>
      <c r="C692" s="47">
        <v>166012448279</v>
      </c>
    </row>
    <row r="693" spans="1:3" x14ac:dyDescent="0.25">
      <c r="A693" s="46" t="s">
        <v>2182</v>
      </c>
      <c r="B693" s="46" t="s">
        <v>2183</v>
      </c>
      <c r="C693" s="47">
        <v>666002589316</v>
      </c>
    </row>
    <row r="694" spans="1:3" x14ac:dyDescent="0.25">
      <c r="A694" s="46" t="s">
        <v>2184</v>
      </c>
      <c r="B694" s="46" t="s">
        <v>2185</v>
      </c>
      <c r="C694" s="47">
        <v>711601446566</v>
      </c>
    </row>
    <row r="695" spans="1:3" x14ac:dyDescent="0.25">
      <c r="A695" s="46" t="s">
        <v>385</v>
      </c>
      <c r="B695" s="46" t="s">
        <v>385</v>
      </c>
      <c r="C695" s="47">
        <v>166100861975</v>
      </c>
    </row>
    <row r="696" spans="1:3" x14ac:dyDescent="0.25">
      <c r="A696" s="46" t="s">
        <v>2186</v>
      </c>
      <c r="B696" s="46" t="s">
        <v>2186</v>
      </c>
      <c r="C696" s="47">
        <v>165505726806</v>
      </c>
    </row>
    <row r="697" spans="1:3" x14ac:dyDescent="0.25">
      <c r="A697" s="46" t="s">
        <v>2187</v>
      </c>
      <c r="B697" s="46" t="s">
        <v>2188</v>
      </c>
      <c r="C697" s="47">
        <v>165001799562</v>
      </c>
    </row>
    <row r="698" spans="1:3" x14ac:dyDescent="0.25">
      <c r="A698" s="46" t="s">
        <v>2189</v>
      </c>
      <c r="B698" s="46" t="s">
        <v>2190</v>
      </c>
      <c r="C698" s="47">
        <v>165003014058</v>
      </c>
    </row>
    <row r="699" spans="1:3" x14ac:dyDescent="0.25">
      <c r="A699" s="46" t="s">
        <v>2191</v>
      </c>
      <c r="B699" s="46" t="s">
        <v>2192</v>
      </c>
      <c r="C699" s="47">
        <v>164606905373</v>
      </c>
    </row>
    <row r="700" spans="1:3" x14ac:dyDescent="0.25">
      <c r="A700" s="46" t="s">
        <v>2193</v>
      </c>
      <c r="B700" s="46" t="s">
        <v>2194</v>
      </c>
      <c r="C700" s="47">
        <v>6318100022</v>
      </c>
    </row>
    <row r="701" spans="1:3" x14ac:dyDescent="0.25">
      <c r="A701" s="46" t="s">
        <v>2195</v>
      </c>
      <c r="B701" s="46" t="s">
        <v>2196</v>
      </c>
      <c r="C701" s="47">
        <v>6315800040</v>
      </c>
    </row>
    <row r="702" spans="1:3" x14ac:dyDescent="0.25">
      <c r="A702" s="46" t="s">
        <v>2197</v>
      </c>
      <c r="B702" s="46" t="s">
        <v>2198</v>
      </c>
      <c r="C702" s="47">
        <v>5403360767</v>
      </c>
    </row>
    <row r="703" spans="1:3" x14ac:dyDescent="0.25">
      <c r="A703" s="46" t="s">
        <v>2199</v>
      </c>
      <c r="B703" s="46" t="s">
        <v>2200</v>
      </c>
      <c r="C703" s="47">
        <v>6454117089</v>
      </c>
    </row>
    <row r="704" spans="1:3" x14ac:dyDescent="0.25">
      <c r="A704" s="46" t="s">
        <v>2201</v>
      </c>
      <c r="B704" s="46" t="s">
        <v>2202</v>
      </c>
      <c r="C704" s="47">
        <v>165900504716</v>
      </c>
    </row>
    <row r="705" spans="1:3" x14ac:dyDescent="0.25">
      <c r="A705" s="46" t="s">
        <v>2203</v>
      </c>
      <c r="B705" s="46" t="s">
        <v>2204</v>
      </c>
      <c r="C705" s="47">
        <v>5254082550</v>
      </c>
    </row>
    <row r="706" spans="1:3" x14ac:dyDescent="0.25">
      <c r="A706" s="46" t="s">
        <v>2205</v>
      </c>
      <c r="B706" s="46" t="s">
        <v>2206</v>
      </c>
      <c r="C706" s="47">
        <v>5254082581</v>
      </c>
    </row>
    <row r="707" spans="1:3" x14ac:dyDescent="0.25">
      <c r="A707" s="46" t="s">
        <v>2207</v>
      </c>
      <c r="B707" s="46" t="s">
        <v>2208</v>
      </c>
      <c r="C707" s="47">
        <v>6686070480</v>
      </c>
    </row>
    <row r="708" spans="1:3" x14ac:dyDescent="0.25">
      <c r="A708" s="46" t="s">
        <v>2209</v>
      </c>
      <c r="B708" s="46" t="s">
        <v>2209</v>
      </c>
      <c r="C708" s="47">
        <v>166103344037</v>
      </c>
    </row>
    <row r="709" spans="1:3" x14ac:dyDescent="0.25">
      <c r="A709" s="46" t="s">
        <v>2210</v>
      </c>
      <c r="B709" s="46" t="s">
        <v>2211</v>
      </c>
      <c r="C709" s="47">
        <v>165046823350</v>
      </c>
    </row>
    <row r="710" spans="1:3" x14ac:dyDescent="0.25">
      <c r="A710" s="46" t="s">
        <v>2212</v>
      </c>
      <c r="B710" s="46" t="s">
        <v>2212</v>
      </c>
      <c r="C710" s="47">
        <v>7707083893</v>
      </c>
    </row>
    <row r="711" spans="1:3" x14ac:dyDescent="0.25">
      <c r="A711" s="46" t="s">
        <v>2213</v>
      </c>
      <c r="B711" s="46" t="s">
        <v>2213</v>
      </c>
      <c r="C711" s="47">
        <v>7707083893</v>
      </c>
    </row>
    <row r="712" spans="1:3" x14ac:dyDescent="0.25">
      <c r="A712" s="46" t="s">
        <v>2214</v>
      </c>
      <c r="B712" s="46" t="s">
        <v>2215</v>
      </c>
      <c r="C712" s="47">
        <v>7707308480</v>
      </c>
    </row>
    <row r="713" spans="1:3" x14ac:dyDescent="0.25">
      <c r="A713" s="46" t="s">
        <v>2216</v>
      </c>
      <c r="B713" s="46" t="s">
        <v>2217</v>
      </c>
      <c r="C713" s="47">
        <v>1655404670</v>
      </c>
    </row>
    <row r="714" spans="1:3" x14ac:dyDescent="0.25">
      <c r="A714" s="46" t="s">
        <v>2218</v>
      </c>
      <c r="B714" s="46" t="s">
        <v>2219</v>
      </c>
      <c r="C714" s="47">
        <v>1658196354</v>
      </c>
    </row>
    <row r="715" spans="1:3" x14ac:dyDescent="0.25">
      <c r="A715" s="46" t="s">
        <v>2220</v>
      </c>
      <c r="B715" s="46" t="s">
        <v>2221</v>
      </c>
      <c r="C715" s="47">
        <v>1655097700</v>
      </c>
    </row>
    <row r="716" spans="1:3" x14ac:dyDescent="0.25">
      <c r="A716" s="46" t="s">
        <v>2222</v>
      </c>
      <c r="B716" s="46" t="s">
        <v>2223</v>
      </c>
      <c r="C716" s="47">
        <v>7723005557</v>
      </c>
    </row>
    <row r="717" spans="1:3" x14ac:dyDescent="0.25">
      <c r="A717" s="46" t="s">
        <v>2224</v>
      </c>
      <c r="B717" s="46" t="s">
        <v>2225</v>
      </c>
      <c r="C717" s="47">
        <v>1663000529</v>
      </c>
    </row>
    <row r="718" spans="1:3" x14ac:dyDescent="0.25">
      <c r="A718" s="46" t="s">
        <v>2226</v>
      </c>
      <c r="B718" s="46" t="s">
        <v>2227</v>
      </c>
      <c r="C718" s="47">
        <v>7722327689</v>
      </c>
    </row>
    <row r="719" spans="1:3" x14ac:dyDescent="0.25">
      <c r="A719" s="46" t="s">
        <v>2228</v>
      </c>
      <c r="B719" s="46" t="s">
        <v>2229</v>
      </c>
      <c r="C719" s="47">
        <v>1650351939</v>
      </c>
    </row>
    <row r="720" spans="1:3" x14ac:dyDescent="0.25">
      <c r="A720" s="46" t="s">
        <v>2230</v>
      </c>
      <c r="B720" s="46" t="s">
        <v>2231</v>
      </c>
      <c r="C720" s="47">
        <v>3528000597</v>
      </c>
    </row>
    <row r="721" spans="1:3" x14ac:dyDescent="0.25">
      <c r="A721" s="46" t="s">
        <v>2232</v>
      </c>
      <c r="B721" s="46" t="s">
        <v>2233</v>
      </c>
      <c r="C721" s="47">
        <v>5262361860</v>
      </c>
    </row>
    <row r="722" spans="1:3" x14ac:dyDescent="0.25">
      <c r="A722" s="46" t="s">
        <v>2234</v>
      </c>
      <c r="B722" s="46" t="s">
        <v>2235</v>
      </c>
      <c r="C722" s="47">
        <v>7726737492</v>
      </c>
    </row>
    <row r="723" spans="1:3" x14ac:dyDescent="0.25">
      <c r="A723" s="46" t="s">
        <v>599</v>
      </c>
      <c r="B723" s="46" t="s">
        <v>599</v>
      </c>
      <c r="C723" s="47">
        <v>165807480108</v>
      </c>
    </row>
    <row r="724" spans="1:3" x14ac:dyDescent="0.25">
      <c r="A724" s="46" t="s">
        <v>602</v>
      </c>
      <c r="B724" s="46" t="s">
        <v>602</v>
      </c>
      <c r="C724" s="47">
        <v>165058474061</v>
      </c>
    </row>
    <row r="725" spans="1:3" x14ac:dyDescent="0.25">
      <c r="A725" s="46" t="s">
        <v>2236</v>
      </c>
      <c r="B725" s="46" t="s">
        <v>2237</v>
      </c>
      <c r="C725" s="47">
        <v>6606013344</v>
      </c>
    </row>
    <row r="726" spans="1:3" x14ac:dyDescent="0.25">
      <c r="A726" s="46" t="s">
        <v>2238</v>
      </c>
      <c r="B726" s="46" t="s">
        <v>2239</v>
      </c>
      <c r="C726" s="47">
        <v>6315506610</v>
      </c>
    </row>
    <row r="727" spans="1:3" x14ac:dyDescent="0.25">
      <c r="A727" s="46" t="s">
        <v>2240</v>
      </c>
      <c r="B727" s="46" t="s">
        <v>2241</v>
      </c>
      <c r="C727" s="47">
        <v>1660024909</v>
      </c>
    </row>
    <row r="728" spans="1:3" x14ac:dyDescent="0.25">
      <c r="A728" s="46" t="s">
        <v>393</v>
      </c>
      <c r="B728" s="46" t="s">
        <v>393</v>
      </c>
      <c r="C728" s="47">
        <v>165003836700</v>
      </c>
    </row>
    <row r="729" spans="1:3" x14ac:dyDescent="0.25">
      <c r="A729" s="46" t="s">
        <v>2242</v>
      </c>
      <c r="B729" s="46" t="s">
        <v>2242</v>
      </c>
      <c r="C729" s="47">
        <v>210600565170</v>
      </c>
    </row>
    <row r="730" spans="1:3" x14ac:dyDescent="0.25">
      <c r="A730" s="46" t="s">
        <v>2243</v>
      </c>
      <c r="B730" s="46" t="s">
        <v>2243</v>
      </c>
      <c r="C730" s="47">
        <v>165028597316</v>
      </c>
    </row>
    <row r="731" spans="1:3" x14ac:dyDescent="0.25">
      <c r="A731" s="46" t="s">
        <v>2244</v>
      </c>
      <c r="B731" s="46" t="s">
        <v>2245</v>
      </c>
      <c r="C731" s="47">
        <v>1650219909</v>
      </c>
    </row>
    <row r="732" spans="1:3" x14ac:dyDescent="0.25">
      <c r="A732" s="46" t="s">
        <v>2246</v>
      </c>
      <c r="B732" s="46" t="s">
        <v>2247</v>
      </c>
      <c r="C732" s="47">
        <v>1655049111</v>
      </c>
    </row>
    <row r="733" spans="1:3" x14ac:dyDescent="0.25">
      <c r="A733" s="46" t="s">
        <v>2248</v>
      </c>
      <c r="B733" s="46" t="s">
        <v>2249</v>
      </c>
      <c r="C733" s="47">
        <v>1655049111</v>
      </c>
    </row>
    <row r="734" spans="1:3" x14ac:dyDescent="0.25">
      <c r="A734" s="46" t="s">
        <v>2250</v>
      </c>
      <c r="B734" s="46" t="s">
        <v>2251</v>
      </c>
      <c r="C734" s="47">
        <v>1655049111</v>
      </c>
    </row>
    <row r="735" spans="1:3" x14ac:dyDescent="0.25">
      <c r="A735" s="46" t="s">
        <v>2252</v>
      </c>
      <c r="B735" s="46" t="s">
        <v>2253</v>
      </c>
      <c r="C735" s="47">
        <v>1655049111</v>
      </c>
    </row>
    <row r="736" spans="1:3" x14ac:dyDescent="0.25">
      <c r="A736" s="46" t="s">
        <v>2254</v>
      </c>
      <c r="B736" s="46" t="s">
        <v>2255</v>
      </c>
      <c r="C736" s="47">
        <v>7017069469</v>
      </c>
    </row>
    <row r="737" spans="1:3" x14ac:dyDescent="0.25">
      <c r="A737" s="46" t="s">
        <v>2256</v>
      </c>
      <c r="B737" s="46" t="s">
        <v>2257</v>
      </c>
      <c r="C737" s="47">
        <v>5404105135</v>
      </c>
    </row>
    <row r="738" spans="1:3" x14ac:dyDescent="0.25">
      <c r="A738" s="46" t="s">
        <v>2258</v>
      </c>
      <c r="B738" s="46" t="s">
        <v>2259</v>
      </c>
      <c r="C738" s="47">
        <v>3812012750</v>
      </c>
    </row>
    <row r="739" spans="1:3" x14ac:dyDescent="0.25">
      <c r="A739" s="46" t="s">
        <v>2260</v>
      </c>
      <c r="B739" s="46" t="s">
        <v>1978</v>
      </c>
      <c r="C739" s="47">
        <v>7707254500</v>
      </c>
    </row>
    <row r="740" spans="1:3" x14ac:dyDescent="0.25">
      <c r="A740" s="46" t="s">
        <v>2261</v>
      </c>
      <c r="B740" s="46" t="s">
        <v>2262</v>
      </c>
      <c r="C740" s="47">
        <v>9723033710</v>
      </c>
    </row>
    <row r="741" spans="1:3" x14ac:dyDescent="0.25">
      <c r="A741" s="46" t="s">
        <v>406</v>
      </c>
      <c r="B741" s="46" t="s">
        <v>406</v>
      </c>
      <c r="C741" s="47">
        <v>701501207350</v>
      </c>
    </row>
    <row r="742" spans="1:3" x14ac:dyDescent="0.25">
      <c r="A742" s="46" t="s">
        <v>2263</v>
      </c>
      <c r="B742" s="46" t="s">
        <v>2264</v>
      </c>
      <c r="C742" s="47">
        <v>6673122130</v>
      </c>
    </row>
    <row r="743" spans="1:3" x14ac:dyDescent="0.25">
      <c r="A743" s="46" t="s">
        <v>2265</v>
      </c>
      <c r="B743" s="46" t="s">
        <v>2266</v>
      </c>
      <c r="C743" s="47">
        <v>7725025502</v>
      </c>
    </row>
    <row r="744" spans="1:3" x14ac:dyDescent="0.25">
      <c r="A744" s="46" t="s">
        <v>2267</v>
      </c>
      <c r="B744" s="46" t="s">
        <v>2268</v>
      </c>
      <c r="C744" s="47">
        <v>9705141494</v>
      </c>
    </row>
    <row r="745" spans="1:3" x14ac:dyDescent="0.25">
      <c r="A745" s="46" t="s">
        <v>2269</v>
      </c>
      <c r="B745" s="46" t="s">
        <v>2270</v>
      </c>
      <c r="C745" s="47">
        <v>165703010147</v>
      </c>
    </row>
    <row r="746" spans="1:3" x14ac:dyDescent="0.25">
      <c r="A746" s="46" t="s">
        <v>2271</v>
      </c>
      <c r="B746" s="46" t="s">
        <v>2272</v>
      </c>
      <c r="C746" s="47">
        <v>7810152251</v>
      </c>
    </row>
    <row r="747" spans="1:3" x14ac:dyDescent="0.25">
      <c r="A747" s="46" t="s">
        <v>2273</v>
      </c>
      <c r="B747" s="46" t="s">
        <v>2274</v>
      </c>
      <c r="C747" s="47">
        <v>278141565</v>
      </c>
    </row>
    <row r="748" spans="1:3" x14ac:dyDescent="0.25">
      <c r="A748" s="46" t="s">
        <v>2275</v>
      </c>
      <c r="B748" s="46" t="s">
        <v>2276</v>
      </c>
      <c r="C748" s="47">
        <v>1650128592</v>
      </c>
    </row>
    <row r="749" spans="1:3" x14ac:dyDescent="0.25">
      <c r="A749" s="46" t="s">
        <v>2277</v>
      </c>
      <c r="B749" s="46" t="s">
        <v>2278</v>
      </c>
      <c r="C749" s="47">
        <v>7718979307</v>
      </c>
    </row>
    <row r="750" spans="1:3" x14ac:dyDescent="0.25">
      <c r="A750" s="46" t="s">
        <v>2279</v>
      </c>
      <c r="B750" s="46" t="s">
        <v>2280</v>
      </c>
      <c r="C750" s="47">
        <v>323404970</v>
      </c>
    </row>
    <row r="751" spans="1:3" x14ac:dyDescent="0.25">
      <c r="A751" s="46" t="s">
        <v>2281</v>
      </c>
      <c r="B751" s="46" t="s">
        <v>2282</v>
      </c>
      <c r="C751" s="47">
        <v>1657142620</v>
      </c>
    </row>
    <row r="752" spans="1:3" x14ac:dyDescent="0.25">
      <c r="A752" s="46" t="s">
        <v>2283</v>
      </c>
      <c r="B752" s="46" t="s">
        <v>2284</v>
      </c>
      <c r="C752" s="47">
        <v>165007653190</v>
      </c>
    </row>
    <row r="753" spans="1:3" x14ac:dyDescent="0.25">
      <c r="A753" s="46" t="s">
        <v>2285</v>
      </c>
      <c r="B753" s="46" t="s">
        <v>2286</v>
      </c>
      <c r="C753" s="47">
        <v>1660258093</v>
      </c>
    </row>
    <row r="754" spans="1:3" x14ac:dyDescent="0.25">
      <c r="A754" s="46" t="s">
        <v>2287</v>
      </c>
      <c r="B754" s="46" t="s">
        <v>2287</v>
      </c>
      <c r="C754" s="47">
        <v>30360198299</v>
      </c>
    </row>
    <row r="755" spans="1:3" x14ac:dyDescent="0.25">
      <c r="A755" s="46" t="s">
        <v>2288</v>
      </c>
      <c r="B755" s="46" t="s">
        <v>2289</v>
      </c>
      <c r="C755" s="47">
        <v>8602067092</v>
      </c>
    </row>
    <row r="756" spans="1:3" x14ac:dyDescent="0.25">
      <c r="A756" s="46" t="s">
        <v>2290</v>
      </c>
      <c r="B756" s="46" t="s">
        <v>2291</v>
      </c>
      <c r="C756" s="47">
        <v>6670291003</v>
      </c>
    </row>
    <row r="757" spans="1:3" x14ac:dyDescent="0.25">
      <c r="A757" s="46" t="s">
        <v>2292</v>
      </c>
      <c r="B757" s="46" t="s">
        <v>2293</v>
      </c>
      <c r="C757" s="47">
        <v>278088368</v>
      </c>
    </row>
    <row r="758" spans="1:3" x14ac:dyDescent="0.25">
      <c r="A758" s="46" t="s">
        <v>2294</v>
      </c>
      <c r="B758" s="46" t="s">
        <v>2295</v>
      </c>
      <c r="C758" s="47">
        <v>4401116480</v>
      </c>
    </row>
    <row r="759" spans="1:3" x14ac:dyDescent="0.25">
      <c r="A759" s="46" t="s">
        <v>2296</v>
      </c>
      <c r="B759" s="46" t="s">
        <v>2297</v>
      </c>
      <c r="C759" s="47">
        <v>4401116480</v>
      </c>
    </row>
    <row r="760" spans="1:3" x14ac:dyDescent="0.25">
      <c r="A760" s="46" t="s">
        <v>2298</v>
      </c>
      <c r="B760" s="46" t="s">
        <v>2299</v>
      </c>
      <c r="C760" s="47">
        <v>1660307625</v>
      </c>
    </row>
    <row r="761" spans="1:3" x14ac:dyDescent="0.25">
      <c r="A761" s="46" t="s">
        <v>2300</v>
      </c>
      <c r="B761" s="46" t="s">
        <v>2301</v>
      </c>
      <c r="C761" s="47">
        <v>4629047554</v>
      </c>
    </row>
    <row r="762" spans="1:3" x14ac:dyDescent="0.25">
      <c r="A762" s="46" t="s">
        <v>2302</v>
      </c>
      <c r="B762" s="46" t="s">
        <v>2303</v>
      </c>
      <c r="C762" s="47">
        <v>7736035485</v>
      </c>
    </row>
    <row r="763" spans="1:3" x14ac:dyDescent="0.25">
      <c r="A763" s="46" t="s">
        <v>2304</v>
      </c>
      <c r="B763" s="46" t="s">
        <v>2305</v>
      </c>
      <c r="C763" s="47">
        <v>7808023788</v>
      </c>
    </row>
    <row r="764" spans="1:3" x14ac:dyDescent="0.25">
      <c r="A764" s="46" t="s">
        <v>2306</v>
      </c>
      <c r="B764" s="46" t="s">
        <v>2307</v>
      </c>
      <c r="C764" s="47">
        <v>7723321993</v>
      </c>
    </row>
    <row r="765" spans="1:3" x14ac:dyDescent="0.25">
      <c r="A765" s="46" t="s">
        <v>2308</v>
      </c>
      <c r="B765" s="46" t="s">
        <v>2309</v>
      </c>
      <c r="C765" s="47">
        <v>7736227885</v>
      </c>
    </row>
    <row r="766" spans="1:3" x14ac:dyDescent="0.25">
      <c r="A766" s="46" t="s">
        <v>2310</v>
      </c>
      <c r="B766" s="46" t="s">
        <v>2311</v>
      </c>
      <c r="C766" s="47">
        <v>7704771122</v>
      </c>
    </row>
    <row r="767" spans="1:3" x14ac:dyDescent="0.25">
      <c r="A767" s="46" t="s">
        <v>2312</v>
      </c>
      <c r="B767" s="46" t="s">
        <v>2313</v>
      </c>
      <c r="C767" s="47">
        <v>1657012967</v>
      </c>
    </row>
    <row r="768" spans="1:3" x14ac:dyDescent="0.25">
      <c r="A768" s="46" t="s">
        <v>2314</v>
      </c>
      <c r="B768" s="46" t="s">
        <v>2315</v>
      </c>
      <c r="C768" s="47">
        <v>7718839719</v>
      </c>
    </row>
    <row r="769" spans="1:3" x14ac:dyDescent="0.25">
      <c r="A769" s="46" t="s">
        <v>2316</v>
      </c>
      <c r="B769" s="46" t="s">
        <v>2317</v>
      </c>
      <c r="C769" s="47">
        <v>1657146304</v>
      </c>
    </row>
    <row r="770" spans="1:3" x14ac:dyDescent="0.25">
      <c r="A770" s="46" t="s">
        <v>2318</v>
      </c>
      <c r="B770" s="46" t="s">
        <v>2319</v>
      </c>
      <c r="C770" s="47">
        <v>5503169130</v>
      </c>
    </row>
    <row r="771" spans="1:3" x14ac:dyDescent="0.25">
      <c r="A771" s="46" t="s">
        <v>2320</v>
      </c>
      <c r="B771" s="46" t="s">
        <v>2321</v>
      </c>
      <c r="C771" s="47">
        <v>7714892736</v>
      </c>
    </row>
    <row r="772" spans="1:3" x14ac:dyDescent="0.25">
      <c r="A772" s="46" t="s">
        <v>2322</v>
      </c>
      <c r="B772" s="46" t="s">
        <v>2323</v>
      </c>
      <c r="C772" s="47">
        <v>1659167170</v>
      </c>
    </row>
    <row r="773" spans="1:3" x14ac:dyDescent="0.25">
      <c r="A773" s="46" t="s">
        <v>2324</v>
      </c>
      <c r="B773" s="46" t="s">
        <v>2325</v>
      </c>
      <c r="C773" s="47">
        <v>1650385286</v>
      </c>
    </row>
    <row r="774" spans="1:3" x14ac:dyDescent="0.25">
      <c r="A774" s="46" t="s">
        <v>2326</v>
      </c>
      <c r="B774" s="46" t="s">
        <v>2327</v>
      </c>
      <c r="C774" s="47">
        <v>7715356456</v>
      </c>
    </row>
    <row r="775" spans="1:3" x14ac:dyDescent="0.25">
      <c r="A775" s="46" t="s">
        <v>2328</v>
      </c>
      <c r="B775" s="46" t="s">
        <v>2329</v>
      </c>
      <c r="C775" s="47">
        <v>1658177143</v>
      </c>
    </row>
    <row r="776" spans="1:3" x14ac:dyDescent="0.25">
      <c r="A776" s="46" t="s">
        <v>2330</v>
      </c>
      <c r="B776" s="46" t="s">
        <v>2331</v>
      </c>
      <c r="C776" s="47">
        <v>277077282</v>
      </c>
    </row>
    <row r="777" spans="1:3" x14ac:dyDescent="0.25">
      <c r="A777" s="46" t="s">
        <v>2332</v>
      </c>
      <c r="B777" s="46" t="s">
        <v>2333</v>
      </c>
      <c r="C777" s="47">
        <v>1655390804</v>
      </c>
    </row>
    <row r="778" spans="1:3" x14ac:dyDescent="0.25">
      <c r="A778" s="46" t="s">
        <v>2334</v>
      </c>
      <c r="B778" s="46" t="s">
        <v>2335</v>
      </c>
      <c r="C778" s="47">
        <v>7709955726</v>
      </c>
    </row>
    <row r="779" spans="1:3" x14ac:dyDescent="0.25">
      <c r="A779" s="46" t="s">
        <v>2336</v>
      </c>
      <c r="B779" s="46" t="s">
        <v>2337</v>
      </c>
      <c r="C779" s="47">
        <v>1608009263</v>
      </c>
    </row>
    <row r="780" spans="1:3" x14ac:dyDescent="0.25">
      <c r="A780" s="46" t="s">
        <v>2338</v>
      </c>
      <c r="B780" s="46" t="s">
        <v>2339</v>
      </c>
      <c r="C780" s="47">
        <v>7811496583</v>
      </c>
    </row>
    <row r="781" spans="1:3" x14ac:dyDescent="0.25">
      <c r="A781" s="46" t="s">
        <v>2340</v>
      </c>
      <c r="B781" s="46" t="s">
        <v>2341</v>
      </c>
      <c r="C781" s="47">
        <v>5001052272</v>
      </c>
    </row>
    <row r="782" spans="1:3" x14ac:dyDescent="0.25">
      <c r="A782" s="46" t="s">
        <v>2342</v>
      </c>
      <c r="B782" s="46" t="s">
        <v>2343</v>
      </c>
      <c r="C782" s="47">
        <v>5904263387</v>
      </c>
    </row>
    <row r="783" spans="1:3" x14ac:dyDescent="0.25">
      <c r="A783" s="46" t="s">
        <v>2344</v>
      </c>
      <c r="B783" s="46" t="s">
        <v>2345</v>
      </c>
      <c r="C783" s="47">
        <v>1650281488</v>
      </c>
    </row>
    <row r="784" spans="1:3" x14ac:dyDescent="0.25">
      <c r="A784" s="46" t="s">
        <v>2346</v>
      </c>
      <c r="B784" s="46" t="s">
        <v>2347</v>
      </c>
      <c r="C784" s="47">
        <v>165047746034</v>
      </c>
    </row>
    <row r="785" spans="1:3" x14ac:dyDescent="0.25">
      <c r="A785" s="46" t="s">
        <v>2348</v>
      </c>
      <c r="B785" s="46" t="s">
        <v>2349</v>
      </c>
      <c r="C785" s="47">
        <v>165007726200</v>
      </c>
    </row>
    <row r="786" spans="1:3" x14ac:dyDescent="0.25">
      <c r="A786" s="46" t="s">
        <v>2350</v>
      </c>
      <c r="B786" s="46" t="s">
        <v>2350</v>
      </c>
      <c r="C786" s="47">
        <v>752200422572</v>
      </c>
    </row>
    <row r="787" spans="1:3" x14ac:dyDescent="0.25">
      <c r="A787" s="46" t="s">
        <v>2351</v>
      </c>
      <c r="B787" s="46" t="s">
        <v>2352</v>
      </c>
      <c r="C787" s="47">
        <v>165035933304</v>
      </c>
    </row>
    <row r="788" spans="1:3" x14ac:dyDescent="0.25">
      <c r="A788" s="46" t="s">
        <v>2353</v>
      </c>
      <c r="B788" s="46" t="s">
        <v>2354</v>
      </c>
      <c r="C788" s="47">
        <v>7709908155</v>
      </c>
    </row>
    <row r="789" spans="1:3" x14ac:dyDescent="0.25">
      <c r="A789" s="46" t="s">
        <v>2355</v>
      </c>
      <c r="B789" s="46" t="s">
        <v>2356</v>
      </c>
      <c r="C789" s="47">
        <v>1659156379</v>
      </c>
    </row>
    <row r="790" spans="1:3" x14ac:dyDescent="0.25">
      <c r="A790" s="46" t="s">
        <v>2357</v>
      </c>
      <c r="B790" s="46" t="s">
        <v>2358</v>
      </c>
      <c r="C790" s="47">
        <v>7707267266</v>
      </c>
    </row>
    <row r="791" spans="1:3" x14ac:dyDescent="0.25">
      <c r="A791" s="46" t="s">
        <v>2359</v>
      </c>
      <c r="B791" s="46" t="s">
        <v>2359</v>
      </c>
      <c r="C791" s="47">
        <v>230301844411</v>
      </c>
    </row>
    <row r="792" spans="1:3" x14ac:dyDescent="0.25">
      <c r="A792" s="46" t="s">
        <v>2360</v>
      </c>
      <c r="B792" s="46" t="s">
        <v>2361</v>
      </c>
      <c r="C792" s="47">
        <v>6324072422</v>
      </c>
    </row>
    <row r="793" spans="1:3" x14ac:dyDescent="0.25">
      <c r="A793" s="46" t="s">
        <v>2362</v>
      </c>
      <c r="B793" s="46" t="s">
        <v>2363</v>
      </c>
      <c r="C793" s="47">
        <v>6315376946</v>
      </c>
    </row>
    <row r="794" spans="1:3" x14ac:dyDescent="0.25">
      <c r="A794" s="46" t="s">
        <v>2364</v>
      </c>
      <c r="B794" s="46" t="s">
        <v>2365</v>
      </c>
      <c r="C794" s="47">
        <v>6315376946</v>
      </c>
    </row>
    <row r="795" spans="1:3" x14ac:dyDescent="0.25">
      <c r="A795" s="46" t="s">
        <v>2366</v>
      </c>
      <c r="B795" s="46" t="s">
        <v>2367</v>
      </c>
      <c r="C795" s="47">
        <v>6315376946</v>
      </c>
    </row>
    <row r="796" spans="1:3" x14ac:dyDescent="0.25">
      <c r="A796" s="46" t="s">
        <v>2368</v>
      </c>
      <c r="B796" s="46" t="s">
        <v>2369</v>
      </c>
      <c r="C796" s="47">
        <v>1658125427</v>
      </c>
    </row>
    <row r="797" spans="1:3" x14ac:dyDescent="0.25">
      <c r="A797" s="46" t="s">
        <v>2370</v>
      </c>
      <c r="B797" s="46" t="s">
        <v>2371</v>
      </c>
      <c r="C797" s="47">
        <v>165050954355</v>
      </c>
    </row>
    <row r="798" spans="1:3" x14ac:dyDescent="0.25">
      <c r="A798" s="46" t="s">
        <v>2372</v>
      </c>
      <c r="B798" s="46" t="s">
        <v>2373</v>
      </c>
      <c r="C798" s="47">
        <v>166107892242</v>
      </c>
    </row>
    <row r="799" spans="1:3" x14ac:dyDescent="0.25">
      <c r="A799" s="46" t="s">
        <v>2374</v>
      </c>
      <c r="B799" s="46" t="s">
        <v>2375</v>
      </c>
      <c r="C799" s="47">
        <v>1650249759</v>
      </c>
    </row>
    <row r="800" spans="1:3" x14ac:dyDescent="0.25">
      <c r="A800" s="46" t="s">
        <v>2376</v>
      </c>
      <c r="B800" s="46" t="s">
        <v>2377</v>
      </c>
      <c r="C800" s="47">
        <v>9701080850</v>
      </c>
    </row>
    <row r="801" spans="1:3" x14ac:dyDescent="0.25">
      <c r="A801" s="46" t="s">
        <v>2378</v>
      </c>
      <c r="B801" s="46" t="s">
        <v>2379</v>
      </c>
      <c r="C801" s="47">
        <v>1655152750</v>
      </c>
    </row>
    <row r="802" spans="1:3" x14ac:dyDescent="0.25">
      <c r="A802" s="46" t="s">
        <v>2380</v>
      </c>
      <c r="B802" s="46" t="s">
        <v>2381</v>
      </c>
      <c r="C802" s="47">
        <v>1663000529</v>
      </c>
    </row>
    <row r="803" spans="1:3" x14ac:dyDescent="0.25">
      <c r="A803" s="46" t="s">
        <v>2382</v>
      </c>
      <c r="B803" s="46" t="s">
        <v>2383</v>
      </c>
      <c r="C803" s="47">
        <v>1644003838</v>
      </c>
    </row>
    <row r="804" spans="1:3" x14ac:dyDescent="0.25">
      <c r="A804" s="46" t="s">
        <v>2384</v>
      </c>
      <c r="B804" s="46" t="s">
        <v>2385</v>
      </c>
      <c r="C804" s="47">
        <v>1655340994</v>
      </c>
    </row>
    <row r="805" spans="1:3" x14ac:dyDescent="0.25">
      <c r="A805" s="46" t="s">
        <v>2386</v>
      </c>
      <c r="B805" s="46" t="s">
        <v>2387</v>
      </c>
      <c r="C805" s="47">
        <v>1681000024</v>
      </c>
    </row>
    <row r="806" spans="1:3" x14ac:dyDescent="0.25">
      <c r="A806" s="46" t="s">
        <v>2388</v>
      </c>
      <c r="B806" s="46" t="s">
        <v>2389</v>
      </c>
      <c r="C806" s="47">
        <v>1657002006</v>
      </c>
    </row>
    <row r="807" spans="1:3" x14ac:dyDescent="0.25">
      <c r="A807" s="46" t="s">
        <v>2390</v>
      </c>
      <c r="B807" s="46" t="s">
        <v>2391</v>
      </c>
      <c r="C807" s="47">
        <v>1657036630</v>
      </c>
    </row>
    <row r="808" spans="1:3" x14ac:dyDescent="0.25">
      <c r="A808" s="46" t="s">
        <v>2392</v>
      </c>
      <c r="B808" s="46" t="s">
        <v>2393</v>
      </c>
      <c r="C808" s="47">
        <v>1657036630</v>
      </c>
    </row>
    <row r="809" spans="1:3" x14ac:dyDescent="0.25">
      <c r="A809" s="46" t="s">
        <v>2394</v>
      </c>
      <c r="B809" s="46" t="s">
        <v>2395</v>
      </c>
      <c r="C809" s="47">
        <v>1657036630</v>
      </c>
    </row>
    <row r="810" spans="1:3" x14ac:dyDescent="0.25">
      <c r="A810" s="46" t="s">
        <v>2396</v>
      </c>
      <c r="B810" s="46" t="s">
        <v>2397</v>
      </c>
      <c r="C810" s="47">
        <v>1657036630</v>
      </c>
    </row>
    <row r="811" spans="1:3" x14ac:dyDescent="0.25">
      <c r="A811" s="46" t="s">
        <v>2398</v>
      </c>
      <c r="B811" s="46" t="s">
        <v>2399</v>
      </c>
      <c r="C811" s="47">
        <v>1657036630</v>
      </c>
    </row>
    <row r="812" spans="1:3" x14ac:dyDescent="0.25">
      <c r="A812" s="46" t="s">
        <v>2400</v>
      </c>
      <c r="B812" s="46" t="s">
        <v>2401</v>
      </c>
      <c r="C812" s="47">
        <v>7715829208</v>
      </c>
    </row>
    <row r="813" spans="1:3" x14ac:dyDescent="0.25">
      <c r="A813" s="46" t="s">
        <v>2402</v>
      </c>
      <c r="B813" s="46" t="s">
        <v>2403</v>
      </c>
      <c r="C813" s="47">
        <v>6685162699</v>
      </c>
    </row>
    <row r="814" spans="1:3" x14ac:dyDescent="0.25">
      <c r="A814" s="46" t="s">
        <v>2404</v>
      </c>
      <c r="B814" s="46" t="s">
        <v>2405</v>
      </c>
      <c r="C814" s="47">
        <v>1655189422</v>
      </c>
    </row>
    <row r="815" spans="1:3" x14ac:dyDescent="0.25">
      <c r="A815" s="46" t="s">
        <v>2406</v>
      </c>
      <c r="B815" s="46" t="s">
        <v>2407</v>
      </c>
      <c r="C815" s="47">
        <v>1660287584</v>
      </c>
    </row>
    <row r="816" spans="1:3" x14ac:dyDescent="0.25">
      <c r="A816" s="46" t="s">
        <v>2408</v>
      </c>
      <c r="B816" s="46" t="s">
        <v>2409</v>
      </c>
      <c r="C816" s="47">
        <v>7801079340</v>
      </c>
    </row>
    <row r="817" spans="1:3" x14ac:dyDescent="0.25">
      <c r="A817" s="46" t="s">
        <v>2410</v>
      </c>
      <c r="B817" s="46" t="s">
        <v>2411</v>
      </c>
      <c r="C817" s="47">
        <v>1657029505</v>
      </c>
    </row>
    <row r="818" spans="1:3" x14ac:dyDescent="0.25">
      <c r="A818" s="46" t="s">
        <v>2412</v>
      </c>
      <c r="B818" s="46" t="s">
        <v>2413</v>
      </c>
      <c r="C818" s="47">
        <v>7447257665</v>
      </c>
    </row>
    <row r="819" spans="1:3" x14ac:dyDescent="0.25">
      <c r="A819" s="46" t="s">
        <v>2414</v>
      </c>
      <c r="B819" s="46" t="s">
        <v>2415</v>
      </c>
      <c r="C819" s="47">
        <v>5008041569</v>
      </c>
    </row>
    <row r="820" spans="1:3" x14ac:dyDescent="0.25">
      <c r="A820" s="46" t="s">
        <v>2416</v>
      </c>
      <c r="B820" s="46" t="s">
        <v>2417</v>
      </c>
      <c r="C820" s="47">
        <v>7605016030</v>
      </c>
    </row>
    <row r="821" spans="1:3" x14ac:dyDescent="0.25">
      <c r="A821" s="46" t="s">
        <v>2418</v>
      </c>
      <c r="B821" s="46" t="s">
        <v>2419</v>
      </c>
      <c r="C821" s="47">
        <v>7729163221</v>
      </c>
    </row>
    <row r="822" spans="1:3" x14ac:dyDescent="0.25">
      <c r="A822" s="46" t="s">
        <v>2420</v>
      </c>
      <c r="B822" s="46" t="s">
        <v>2420</v>
      </c>
      <c r="C822" s="47">
        <v>1659041868</v>
      </c>
    </row>
    <row r="823" spans="1:3" x14ac:dyDescent="0.25">
      <c r="A823" s="46" t="s">
        <v>2421</v>
      </c>
      <c r="B823" s="46" t="s">
        <v>2422</v>
      </c>
      <c r="C823" s="47">
        <v>7733310743</v>
      </c>
    </row>
    <row r="824" spans="1:3" x14ac:dyDescent="0.25">
      <c r="A824" s="46" t="s">
        <v>2423</v>
      </c>
      <c r="B824" s="46" t="s">
        <v>2424</v>
      </c>
      <c r="C824" s="47">
        <v>7450031562</v>
      </c>
    </row>
    <row r="825" spans="1:3" x14ac:dyDescent="0.25">
      <c r="A825" s="46" t="s">
        <v>2425</v>
      </c>
      <c r="B825" s="46" t="s">
        <v>2426</v>
      </c>
      <c r="C825" s="47">
        <v>7733248157</v>
      </c>
    </row>
    <row r="826" spans="1:3" x14ac:dyDescent="0.25">
      <c r="A826" s="46" t="s">
        <v>2427</v>
      </c>
      <c r="B826" s="46" t="s">
        <v>2428</v>
      </c>
      <c r="C826" s="47">
        <v>4025016433</v>
      </c>
    </row>
    <row r="827" spans="1:3" x14ac:dyDescent="0.25">
      <c r="A827" s="46" t="s">
        <v>2429</v>
      </c>
      <c r="B827" s="46" t="s">
        <v>2430</v>
      </c>
      <c r="C827" s="47">
        <v>2129004164</v>
      </c>
    </row>
    <row r="828" spans="1:3" x14ac:dyDescent="0.25">
      <c r="A828" s="46" t="s">
        <v>2431</v>
      </c>
      <c r="B828" s="46" t="s">
        <v>2432</v>
      </c>
      <c r="C828" s="47">
        <v>9702006465</v>
      </c>
    </row>
    <row r="829" spans="1:3" x14ac:dyDescent="0.25">
      <c r="A829" s="46" t="s">
        <v>2433</v>
      </c>
      <c r="B829" s="46" t="s">
        <v>2434</v>
      </c>
      <c r="C829" s="47">
        <v>7723537488</v>
      </c>
    </row>
    <row r="830" spans="1:3" x14ac:dyDescent="0.25">
      <c r="A830" s="46" t="s">
        <v>2435</v>
      </c>
      <c r="B830" s="46" t="s">
        <v>2436</v>
      </c>
      <c r="C830" s="47">
        <v>7722404870</v>
      </c>
    </row>
    <row r="831" spans="1:3" x14ac:dyDescent="0.25">
      <c r="A831" s="46" t="s">
        <v>2437</v>
      </c>
      <c r="B831" s="46" t="s">
        <v>2438</v>
      </c>
      <c r="C831" s="47">
        <v>1655087357</v>
      </c>
    </row>
    <row r="832" spans="1:3" x14ac:dyDescent="0.25">
      <c r="A832" s="46" t="s">
        <v>2439</v>
      </c>
      <c r="B832" s="46" t="s">
        <v>2440</v>
      </c>
      <c r="C832" s="47">
        <v>1650141843</v>
      </c>
    </row>
    <row r="833" spans="1:3" x14ac:dyDescent="0.25">
      <c r="A833" s="46" t="s">
        <v>2441</v>
      </c>
      <c r="B833" s="46" t="s">
        <v>2442</v>
      </c>
      <c r="C833" s="47">
        <v>1658123807</v>
      </c>
    </row>
    <row r="834" spans="1:3" x14ac:dyDescent="0.25">
      <c r="A834" s="46" t="s">
        <v>2443</v>
      </c>
      <c r="B834" s="46" t="s">
        <v>2444</v>
      </c>
      <c r="C834" s="47">
        <v>7703406712</v>
      </c>
    </row>
    <row r="835" spans="1:3" x14ac:dyDescent="0.25">
      <c r="A835" s="46" t="s">
        <v>2445</v>
      </c>
      <c r="B835" s="46" t="s">
        <v>2446</v>
      </c>
      <c r="C835" s="47">
        <v>3804054428</v>
      </c>
    </row>
    <row r="836" spans="1:3" x14ac:dyDescent="0.25">
      <c r="A836" s="46" t="s">
        <v>2447</v>
      </c>
      <c r="B836" s="46" t="s">
        <v>2448</v>
      </c>
      <c r="C836" s="47">
        <v>7702402088</v>
      </c>
    </row>
    <row r="837" spans="1:3" x14ac:dyDescent="0.25">
      <c r="A837" s="46" t="s">
        <v>2449</v>
      </c>
      <c r="B837" s="46" t="s">
        <v>2449</v>
      </c>
      <c r="C837" s="47">
        <v>9715226563</v>
      </c>
    </row>
    <row r="838" spans="1:3" x14ac:dyDescent="0.25">
      <c r="A838" s="46" t="s">
        <v>2450</v>
      </c>
      <c r="B838" s="46" t="s">
        <v>2451</v>
      </c>
      <c r="C838" s="47">
        <v>7810560412</v>
      </c>
    </row>
    <row r="839" spans="1:3" x14ac:dyDescent="0.25">
      <c r="A839" s="46" t="s">
        <v>2452</v>
      </c>
      <c r="B839" s="46" t="s">
        <v>2453</v>
      </c>
      <c r="C839" s="47">
        <v>7725257260</v>
      </c>
    </row>
    <row r="840" spans="1:3" x14ac:dyDescent="0.25">
      <c r="A840" s="46" t="s">
        <v>2454</v>
      </c>
      <c r="B840" s="46" t="s">
        <v>2455</v>
      </c>
      <c r="C840" s="47">
        <v>7451380527</v>
      </c>
    </row>
    <row r="841" spans="1:3" x14ac:dyDescent="0.25">
      <c r="A841" s="46" t="s">
        <v>2456</v>
      </c>
      <c r="B841" s="46" t="s">
        <v>2457</v>
      </c>
      <c r="C841" s="47">
        <v>1659169882</v>
      </c>
    </row>
    <row r="842" spans="1:3" x14ac:dyDescent="0.25">
      <c r="A842" s="46" t="s">
        <v>2458</v>
      </c>
      <c r="B842" s="46" t="s">
        <v>2459</v>
      </c>
      <c r="C842" s="47">
        <v>7814598978</v>
      </c>
    </row>
    <row r="843" spans="1:3" x14ac:dyDescent="0.25">
      <c r="A843" s="46" t="s">
        <v>2460</v>
      </c>
      <c r="B843" s="46" t="s">
        <v>2461</v>
      </c>
      <c r="C843" s="47">
        <v>5902140693</v>
      </c>
    </row>
    <row r="844" spans="1:3" x14ac:dyDescent="0.25">
      <c r="A844" s="46" t="s">
        <v>2462</v>
      </c>
      <c r="B844" s="46" t="s">
        <v>2463</v>
      </c>
      <c r="C844" s="47">
        <v>7703459471</v>
      </c>
    </row>
    <row r="845" spans="1:3" x14ac:dyDescent="0.25">
      <c r="A845" s="46" t="s">
        <v>2464</v>
      </c>
      <c r="B845" s="46" t="s">
        <v>2464</v>
      </c>
      <c r="C845" s="47">
        <v>711600043130</v>
      </c>
    </row>
    <row r="846" spans="1:3" x14ac:dyDescent="0.25">
      <c r="A846" s="46" t="s">
        <v>2465</v>
      </c>
      <c r="B846" s="46" t="s">
        <v>2466</v>
      </c>
      <c r="C846" s="47">
        <v>7702680818</v>
      </c>
    </row>
    <row r="847" spans="1:3" x14ac:dyDescent="0.25">
      <c r="A847" s="46" t="s">
        <v>2467</v>
      </c>
      <c r="B847" s="46" t="s">
        <v>2468</v>
      </c>
      <c r="C847" s="47">
        <v>7710140679</v>
      </c>
    </row>
    <row r="848" spans="1:3" x14ac:dyDescent="0.25">
      <c r="A848" s="46" t="s">
        <v>2469</v>
      </c>
      <c r="B848" s="46" t="s">
        <v>2470</v>
      </c>
      <c r="C848" s="47">
        <v>7453246365</v>
      </c>
    </row>
    <row r="849" spans="1:3" x14ac:dyDescent="0.25">
      <c r="A849" s="46" t="s">
        <v>2471</v>
      </c>
      <c r="B849" s="46" t="s">
        <v>2472</v>
      </c>
      <c r="C849" s="47">
        <v>1650310509</v>
      </c>
    </row>
    <row r="850" spans="1:3" x14ac:dyDescent="0.25">
      <c r="A850" s="46" t="s">
        <v>2473</v>
      </c>
      <c r="B850" s="46" t="s">
        <v>2473</v>
      </c>
      <c r="C850" s="47">
        <v>165024074210</v>
      </c>
    </row>
    <row r="851" spans="1:3" x14ac:dyDescent="0.25">
      <c r="A851" s="46" t="s">
        <v>2474</v>
      </c>
      <c r="B851" s="46" t="s">
        <v>2475</v>
      </c>
      <c r="C851" s="47">
        <v>7826005823</v>
      </c>
    </row>
    <row r="852" spans="1:3" x14ac:dyDescent="0.25">
      <c r="A852" s="46" t="s">
        <v>2476</v>
      </c>
      <c r="B852" s="46" t="s">
        <v>2477</v>
      </c>
      <c r="C852" s="47">
        <v>6154572383</v>
      </c>
    </row>
    <row r="853" spans="1:3" x14ac:dyDescent="0.25">
      <c r="A853" s="46" t="s">
        <v>2478</v>
      </c>
      <c r="B853" s="46" t="s">
        <v>2478</v>
      </c>
      <c r="C853" s="47">
        <v>7708353479</v>
      </c>
    </row>
    <row r="854" spans="1:3" x14ac:dyDescent="0.25">
      <c r="A854" s="46" t="s">
        <v>2479</v>
      </c>
      <c r="B854" s="46" t="s">
        <v>2480</v>
      </c>
      <c r="C854" s="47">
        <v>1660328047</v>
      </c>
    </row>
    <row r="855" spans="1:3" x14ac:dyDescent="0.25">
      <c r="A855" s="46" t="s">
        <v>2481</v>
      </c>
      <c r="B855" s="46" t="s">
        <v>2482</v>
      </c>
      <c r="C855" s="47">
        <v>7720374066</v>
      </c>
    </row>
    <row r="856" spans="1:3" x14ac:dyDescent="0.25">
      <c r="A856" s="46" t="s">
        <v>2483</v>
      </c>
      <c r="B856" s="46" t="s">
        <v>2484</v>
      </c>
      <c r="C856" s="47">
        <v>1639058285</v>
      </c>
    </row>
    <row r="857" spans="1:3" x14ac:dyDescent="0.25">
      <c r="A857" s="46" t="s">
        <v>2485</v>
      </c>
      <c r="B857" s="46" t="s">
        <v>2486</v>
      </c>
      <c r="C857" s="47">
        <v>380408085747</v>
      </c>
    </row>
    <row r="858" spans="1:3" x14ac:dyDescent="0.25">
      <c r="A858" s="46" t="s">
        <v>2487</v>
      </c>
      <c r="B858" s="46" t="s">
        <v>2488</v>
      </c>
      <c r="C858" s="47">
        <v>7709769582</v>
      </c>
    </row>
    <row r="859" spans="1:3" x14ac:dyDescent="0.25">
      <c r="A859" s="46" t="s">
        <v>2489</v>
      </c>
      <c r="B859" s="46" t="s">
        <v>2490</v>
      </c>
      <c r="C859" s="47">
        <v>1650222475</v>
      </c>
    </row>
    <row r="860" spans="1:3" x14ac:dyDescent="0.25">
      <c r="A860" s="46" t="s">
        <v>2491</v>
      </c>
      <c r="B860" s="46" t="s">
        <v>2492</v>
      </c>
      <c r="C860" s="47">
        <v>290127671450</v>
      </c>
    </row>
    <row r="861" spans="1:3" x14ac:dyDescent="0.25">
      <c r="A861" s="46" t="s">
        <v>2493</v>
      </c>
      <c r="B861" s="46" t="s">
        <v>2494</v>
      </c>
      <c r="C861" s="47">
        <v>6164116485</v>
      </c>
    </row>
    <row r="862" spans="1:3" x14ac:dyDescent="0.25">
      <c r="A862" s="46" t="s">
        <v>2495</v>
      </c>
      <c r="B862" s="46" t="s">
        <v>2496</v>
      </c>
      <c r="C862" s="47">
        <v>1650051942</v>
      </c>
    </row>
    <row r="863" spans="1:3" x14ac:dyDescent="0.25">
      <c r="A863" s="46" t="s">
        <v>2497</v>
      </c>
      <c r="B863" s="46" t="s">
        <v>2498</v>
      </c>
      <c r="C863" s="47">
        <v>7743772602</v>
      </c>
    </row>
    <row r="864" spans="1:3" x14ac:dyDescent="0.25">
      <c r="A864" s="46" t="s">
        <v>2499</v>
      </c>
      <c r="B864" s="46" t="s">
        <v>2500</v>
      </c>
      <c r="C864" s="47">
        <v>2901284545</v>
      </c>
    </row>
    <row r="865" spans="1:3" x14ac:dyDescent="0.25">
      <c r="A865" s="46" t="s">
        <v>2501</v>
      </c>
      <c r="B865" s="46" t="s">
        <v>2502</v>
      </c>
      <c r="C865" s="47">
        <v>1656050991</v>
      </c>
    </row>
    <row r="866" spans="1:3" x14ac:dyDescent="0.25">
      <c r="A866" s="46" t="s">
        <v>2503</v>
      </c>
      <c r="B866" s="46" t="s">
        <v>2504</v>
      </c>
      <c r="C866" s="47">
        <v>1655366061</v>
      </c>
    </row>
    <row r="867" spans="1:3" x14ac:dyDescent="0.25">
      <c r="A867" s="46" t="s">
        <v>2505</v>
      </c>
      <c r="B867" s="46" t="s">
        <v>2505</v>
      </c>
      <c r="C867" s="47">
        <v>890403376647</v>
      </c>
    </row>
    <row r="868" spans="1:3" x14ac:dyDescent="0.25">
      <c r="A868" s="46" t="s">
        <v>2506</v>
      </c>
      <c r="B868" s="46" t="s">
        <v>2507</v>
      </c>
      <c r="C868" s="47">
        <v>7706076702</v>
      </c>
    </row>
    <row r="869" spans="1:3" x14ac:dyDescent="0.25">
      <c r="A869" s="46" t="s">
        <v>2508</v>
      </c>
      <c r="B869" s="46" t="s">
        <v>2509</v>
      </c>
      <c r="C869" s="47">
        <v>5835112634</v>
      </c>
    </row>
    <row r="870" spans="1:3" x14ac:dyDescent="0.25">
      <c r="A870" s="46" t="s">
        <v>2510</v>
      </c>
      <c r="B870" s="46" t="s">
        <v>2511</v>
      </c>
      <c r="C870" s="47">
        <v>7701630395</v>
      </c>
    </row>
    <row r="871" spans="1:3" x14ac:dyDescent="0.25">
      <c r="A871" s="46" t="s">
        <v>2512</v>
      </c>
      <c r="B871" s="46" t="s">
        <v>2512</v>
      </c>
      <c r="C871" s="47">
        <v>165705560837</v>
      </c>
    </row>
    <row r="872" spans="1:3" x14ac:dyDescent="0.25">
      <c r="A872" s="46" t="s">
        <v>2513</v>
      </c>
      <c r="B872" s="46" t="s">
        <v>2514</v>
      </c>
      <c r="C872" s="47">
        <v>6230112920</v>
      </c>
    </row>
    <row r="873" spans="1:3" x14ac:dyDescent="0.25">
      <c r="A873" s="46" t="s">
        <v>2515</v>
      </c>
      <c r="B873" s="46" t="s">
        <v>2516</v>
      </c>
      <c r="C873" s="47">
        <v>7704824695</v>
      </c>
    </row>
    <row r="874" spans="1:3" x14ac:dyDescent="0.25">
      <c r="A874" s="46" t="s">
        <v>2517</v>
      </c>
      <c r="B874" s="46" t="s">
        <v>2518</v>
      </c>
      <c r="C874" s="47">
        <v>1656071134</v>
      </c>
    </row>
    <row r="875" spans="1:3" x14ac:dyDescent="0.25">
      <c r="A875" s="46" t="s">
        <v>2519</v>
      </c>
      <c r="B875" s="46" t="s">
        <v>2520</v>
      </c>
      <c r="C875" s="47">
        <v>5244030601</v>
      </c>
    </row>
    <row r="876" spans="1:3" x14ac:dyDescent="0.25">
      <c r="A876" s="46" t="s">
        <v>2521</v>
      </c>
      <c r="B876" s="46" t="s">
        <v>2522</v>
      </c>
      <c r="C876" s="47">
        <v>6679105660</v>
      </c>
    </row>
    <row r="877" spans="1:3" x14ac:dyDescent="0.25">
      <c r="A877" s="46" t="s">
        <v>2523</v>
      </c>
      <c r="B877" s="46" t="s">
        <v>2524</v>
      </c>
      <c r="C877" s="47">
        <v>7117028603</v>
      </c>
    </row>
    <row r="878" spans="1:3" x14ac:dyDescent="0.25">
      <c r="A878" s="46" t="s">
        <v>2525</v>
      </c>
      <c r="B878" s="46" t="s">
        <v>2526</v>
      </c>
      <c r="C878" s="47">
        <v>165703838357</v>
      </c>
    </row>
    <row r="879" spans="1:3" x14ac:dyDescent="0.25">
      <c r="A879" s="46" t="s">
        <v>611</v>
      </c>
      <c r="B879" s="46" t="s">
        <v>611</v>
      </c>
      <c r="C879" s="47">
        <v>165811065908</v>
      </c>
    </row>
    <row r="880" spans="1:3" x14ac:dyDescent="0.25">
      <c r="A880" s="46" t="s">
        <v>2527</v>
      </c>
      <c r="B880" s="46" t="s">
        <v>2528</v>
      </c>
      <c r="C880" s="47">
        <v>8604055416</v>
      </c>
    </row>
    <row r="881" spans="1:3" x14ac:dyDescent="0.25">
      <c r="A881" s="46" t="s">
        <v>2529</v>
      </c>
      <c r="B881" s="46" t="s">
        <v>2529</v>
      </c>
      <c r="C881" s="47">
        <v>1001040537</v>
      </c>
    </row>
    <row r="882" spans="1:3" x14ac:dyDescent="0.25">
      <c r="A882" s="46" t="s">
        <v>2530</v>
      </c>
      <c r="B882" s="46" t="s">
        <v>2531</v>
      </c>
      <c r="C882" s="47">
        <v>1650079850</v>
      </c>
    </row>
    <row r="883" spans="1:3" x14ac:dyDescent="0.25">
      <c r="A883" s="46" t="s">
        <v>2532</v>
      </c>
      <c r="B883" s="46" t="s">
        <v>2533</v>
      </c>
      <c r="C883" s="47">
        <v>5911029807</v>
      </c>
    </row>
    <row r="884" spans="1:3" x14ac:dyDescent="0.25">
      <c r="A884" s="46" t="s">
        <v>2534</v>
      </c>
      <c r="B884" s="46" t="s">
        <v>2535</v>
      </c>
      <c r="C884" s="47">
        <v>274062111</v>
      </c>
    </row>
    <row r="885" spans="1:3" x14ac:dyDescent="0.25">
      <c r="A885" s="46" t="s">
        <v>2536</v>
      </c>
      <c r="B885" s="46" t="s">
        <v>2537</v>
      </c>
      <c r="C885" s="47">
        <v>6670069584</v>
      </c>
    </row>
    <row r="886" spans="1:3" x14ac:dyDescent="0.25">
      <c r="A886" s="46" t="s">
        <v>2538</v>
      </c>
      <c r="B886" s="46" t="s">
        <v>2539</v>
      </c>
      <c r="C886" s="47">
        <v>6670013045</v>
      </c>
    </row>
    <row r="887" spans="1:3" x14ac:dyDescent="0.25">
      <c r="A887" s="46" t="s">
        <v>2540</v>
      </c>
      <c r="B887" s="46" t="s">
        <v>2541</v>
      </c>
      <c r="C887" s="47">
        <v>1660161486</v>
      </c>
    </row>
    <row r="888" spans="1:3" x14ac:dyDescent="0.25">
      <c r="A888" s="46" t="s">
        <v>2542</v>
      </c>
      <c r="B888" s="46" t="s">
        <v>2543</v>
      </c>
      <c r="C888" s="47">
        <v>1651064817</v>
      </c>
    </row>
    <row r="889" spans="1:3" x14ac:dyDescent="0.25">
      <c r="A889" s="46" t="s">
        <v>2544</v>
      </c>
      <c r="B889" s="46" t="s">
        <v>2545</v>
      </c>
      <c r="C889" s="47">
        <v>6660001308</v>
      </c>
    </row>
    <row r="890" spans="1:3" x14ac:dyDescent="0.25">
      <c r="A890" s="46" t="s">
        <v>2546</v>
      </c>
      <c r="B890" s="46" t="s">
        <v>2547</v>
      </c>
      <c r="C890" s="47">
        <v>6670171718</v>
      </c>
    </row>
    <row r="891" spans="1:3" x14ac:dyDescent="0.25">
      <c r="A891" s="46" t="s">
        <v>2548</v>
      </c>
      <c r="B891" s="46" t="s">
        <v>2549</v>
      </c>
      <c r="C891" s="47">
        <v>8904064475</v>
      </c>
    </row>
    <row r="892" spans="1:3" x14ac:dyDescent="0.25">
      <c r="A892" s="46" t="s">
        <v>2550</v>
      </c>
      <c r="B892" s="46" t="s">
        <v>2551</v>
      </c>
      <c r="C892" s="47">
        <v>8904047600</v>
      </c>
    </row>
    <row r="893" spans="1:3" x14ac:dyDescent="0.25">
      <c r="A893" s="46" t="s">
        <v>2552</v>
      </c>
      <c r="B893" s="46" t="s">
        <v>2553</v>
      </c>
      <c r="C893" s="47">
        <v>26705193002</v>
      </c>
    </row>
    <row r="894" spans="1:3" x14ac:dyDescent="0.25">
      <c r="A894" s="46" t="s">
        <v>2554</v>
      </c>
      <c r="B894" s="46" t="s">
        <v>2555</v>
      </c>
      <c r="C894" s="47">
        <v>277077282</v>
      </c>
    </row>
    <row r="895" spans="1:3" x14ac:dyDescent="0.25">
      <c r="A895" s="46" t="s">
        <v>2556</v>
      </c>
      <c r="B895" s="46" t="s">
        <v>2556</v>
      </c>
      <c r="C895" s="47">
        <v>7726062105</v>
      </c>
    </row>
    <row r="896" spans="1:3" x14ac:dyDescent="0.25">
      <c r="A896" s="46" t="s">
        <v>2557</v>
      </c>
      <c r="B896" s="46" t="s">
        <v>2557</v>
      </c>
      <c r="C896" s="47">
        <v>7838000019</v>
      </c>
    </row>
    <row r="897" spans="1:3" x14ac:dyDescent="0.25">
      <c r="A897" s="46" t="s">
        <v>2558</v>
      </c>
      <c r="B897" s="46" t="s">
        <v>2558</v>
      </c>
      <c r="C897" s="47">
        <v>7842000011</v>
      </c>
    </row>
    <row r="898" spans="1:3" x14ac:dyDescent="0.25">
      <c r="A898" s="46" t="s">
        <v>2559</v>
      </c>
      <c r="B898" s="46" t="s">
        <v>2559</v>
      </c>
      <c r="C898" s="47">
        <v>5504097777</v>
      </c>
    </row>
    <row r="899" spans="1:3" x14ac:dyDescent="0.25">
      <c r="A899" s="46" t="s">
        <v>2560</v>
      </c>
      <c r="B899" s="46" t="s">
        <v>2560</v>
      </c>
      <c r="C899" s="47">
        <v>274034097</v>
      </c>
    </row>
    <row r="900" spans="1:3" x14ac:dyDescent="0.25">
      <c r="A900" s="46" t="s">
        <v>2561</v>
      </c>
      <c r="B900" s="46" t="s">
        <v>2561</v>
      </c>
      <c r="C900" s="47">
        <v>1215099182</v>
      </c>
    </row>
    <row r="901" spans="1:3" x14ac:dyDescent="0.25">
      <c r="A901" s="46" t="s">
        <v>2562</v>
      </c>
      <c r="B901" s="46" t="s">
        <v>2562</v>
      </c>
      <c r="C901" s="47">
        <v>1659053849</v>
      </c>
    </row>
    <row r="902" spans="1:3" x14ac:dyDescent="0.25">
      <c r="A902" s="46" t="s">
        <v>2563</v>
      </c>
      <c r="B902" s="46" t="s">
        <v>2563</v>
      </c>
      <c r="C902" s="47">
        <v>1654002946</v>
      </c>
    </row>
    <row r="903" spans="1:3" x14ac:dyDescent="0.25">
      <c r="A903" s="46" t="s">
        <v>2564</v>
      </c>
      <c r="B903" s="46" t="s">
        <v>2564</v>
      </c>
      <c r="C903" s="47">
        <v>1659053849</v>
      </c>
    </row>
    <row r="904" spans="1:3" x14ac:dyDescent="0.25">
      <c r="A904" s="46" t="s">
        <v>2565</v>
      </c>
      <c r="B904" s="46" t="s">
        <v>2566</v>
      </c>
      <c r="C904" s="47">
        <v>1650040002</v>
      </c>
    </row>
    <row r="905" spans="1:3" x14ac:dyDescent="0.25">
      <c r="A905" s="46" t="s">
        <v>2567</v>
      </c>
      <c r="B905" s="46" t="s">
        <v>2567</v>
      </c>
      <c r="C905" s="47">
        <v>1651016813</v>
      </c>
    </row>
    <row r="906" spans="1:3" x14ac:dyDescent="0.25">
      <c r="A906" s="46" t="s">
        <v>2568</v>
      </c>
      <c r="B906" s="46" t="s">
        <v>2568</v>
      </c>
      <c r="C906" s="47">
        <v>1657021129</v>
      </c>
    </row>
    <row r="907" spans="1:3" x14ac:dyDescent="0.25">
      <c r="A907" s="46" t="s">
        <v>2569</v>
      </c>
      <c r="B907" s="46" t="s">
        <v>2569</v>
      </c>
      <c r="C907" s="47">
        <v>1646055550</v>
      </c>
    </row>
    <row r="908" spans="1:3" x14ac:dyDescent="0.25">
      <c r="A908" s="46" t="s">
        <v>2570</v>
      </c>
      <c r="B908" s="46" t="s">
        <v>2570</v>
      </c>
      <c r="C908" s="47">
        <v>1655005361</v>
      </c>
    </row>
    <row r="909" spans="1:3" x14ac:dyDescent="0.25">
      <c r="A909" s="46" t="s">
        <v>2571</v>
      </c>
      <c r="B909" s="46" t="s">
        <v>2571</v>
      </c>
      <c r="C909" s="47">
        <v>1657030758</v>
      </c>
    </row>
    <row r="910" spans="1:3" x14ac:dyDescent="0.25">
      <c r="A910" s="46" t="s">
        <v>2572</v>
      </c>
      <c r="B910" s="46" t="s">
        <v>2573</v>
      </c>
      <c r="C910" s="47">
        <v>1655088826</v>
      </c>
    </row>
    <row r="911" spans="1:3" x14ac:dyDescent="0.25">
      <c r="A911" s="46" t="s">
        <v>2574</v>
      </c>
      <c r="B911" s="46" t="s">
        <v>2574</v>
      </c>
      <c r="C911" s="47">
        <v>1654004615</v>
      </c>
    </row>
    <row r="912" spans="1:3" x14ac:dyDescent="0.25">
      <c r="A912" s="46" t="s">
        <v>2575</v>
      </c>
      <c r="B912" s="46" t="s">
        <v>2575</v>
      </c>
      <c r="C912" s="47">
        <v>1655088826</v>
      </c>
    </row>
    <row r="913" spans="1:3" x14ac:dyDescent="0.25">
      <c r="A913" s="46" t="s">
        <v>2576</v>
      </c>
      <c r="B913" s="46" t="s">
        <v>2576</v>
      </c>
      <c r="C913" s="47">
        <v>2632101222</v>
      </c>
    </row>
    <row r="914" spans="1:3" x14ac:dyDescent="0.25">
      <c r="A914" s="46" t="s">
        <v>2577</v>
      </c>
      <c r="B914" s="46" t="s">
        <v>2577</v>
      </c>
      <c r="C914" s="47">
        <v>7203000979</v>
      </c>
    </row>
    <row r="915" spans="1:3" x14ac:dyDescent="0.25">
      <c r="A915" s="46" t="s">
        <v>2578</v>
      </c>
      <c r="B915" s="46" t="s">
        <v>2578</v>
      </c>
      <c r="C915" s="47">
        <v>7724490000</v>
      </c>
    </row>
    <row r="916" spans="1:3" x14ac:dyDescent="0.25">
      <c r="A916" s="46" t="s">
        <v>2579</v>
      </c>
      <c r="B916" s="46" t="s">
        <v>2579</v>
      </c>
      <c r="C916" s="47">
        <v>7724261610</v>
      </c>
    </row>
    <row r="917" spans="1:3" x14ac:dyDescent="0.25">
      <c r="A917" s="46" t="s">
        <v>2580</v>
      </c>
      <c r="B917" s="46" t="s">
        <v>2581</v>
      </c>
      <c r="C917" s="47">
        <v>6672235068</v>
      </c>
    </row>
    <row r="918" spans="1:3" x14ac:dyDescent="0.25">
      <c r="A918" s="46" t="s">
        <v>2582</v>
      </c>
      <c r="B918" s="46" t="s">
        <v>498</v>
      </c>
      <c r="C918" s="47">
        <v>1650372086</v>
      </c>
    </row>
    <row r="919" spans="1:3" x14ac:dyDescent="0.25">
      <c r="A919" s="46" t="s">
        <v>2583</v>
      </c>
      <c r="B919" s="46" t="s">
        <v>2584</v>
      </c>
      <c r="C919" s="47">
        <v>6670497540</v>
      </c>
    </row>
    <row r="920" spans="1:3" x14ac:dyDescent="0.25">
      <c r="A920" s="46" t="s">
        <v>2585</v>
      </c>
      <c r="B920" s="46" t="s">
        <v>2585</v>
      </c>
      <c r="C920" s="47">
        <v>7703561549</v>
      </c>
    </row>
    <row r="921" spans="1:3" x14ac:dyDescent="0.25">
      <c r="A921" s="46" t="s">
        <v>2586</v>
      </c>
      <c r="B921" s="46" t="s">
        <v>2587</v>
      </c>
      <c r="C921" s="47">
        <v>732800034995</v>
      </c>
    </row>
    <row r="922" spans="1:3" x14ac:dyDescent="0.25">
      <c r="A922" s="46" t="s">
        <v>440</v>
      </c>
      <c r="B922" s="46" t="s">
        <v>440</v>
      </c>
      <c r="C922" s="47">
        <v>165036018879</v>
      </c>
    </row>
    <row r="923" spans="1:3" x14ac:dyDescent="0.25">
      <c r="A923" s="46" t="s">
        <v>2588</v>
      </c>
      <c r="B923" s="46" t="s">
        <v>2589</v>
      </c>
      <c r="C923" s="47">
        <v>7734735629</v>
      </c>
    </row>
    <row r="924" spans="1:3" x14ac:dyDescent="0.25">
      <c r="A924" s="46" t="s">
        <v>445</v>
      </c>
      <c r="B924" s="46" t="s">
        <v>445</v>
      </c>
      <c r="C924" s="47">
        <v>162802118273</v>
      </c>
    </row>
    <row r="925" spans="1:3" x14ac:dyDescent="0.25">
      <c r="A925" s="46" t="s">
        <v>2590</v>
      </c>
      <c r="B925" s="46" t="s">
        <v>2590</v>
      </c>
      <c r="C925" s="47">
        <v>165014104218</v>
      </c>
    </row>
    <row r="926" spans="1:3" x14ac:dyDescent="0.25">
      <c r="A926" s="46" t="s">
        <v>2591</v>
      </c>
      <c r="B926" s="46" t="s">
        <v>2592</v>
      </c>
      <c r="C926" s="47">
        <v>165040394841</v>
      </c>
    </row>
    <row r="927" spans="1:3" x14ac:dyDescent="0.25">
      <c r="A927" s="46" t="s">
        <v>2593</v>
      </c>
      <c r="B927" s="46" t="s">
        <v>2594</v>
      </c>
      <c r="C927" s="47">
        <v>1658210778</v>
      </c>
    </row>
    <row r="928" spans="1:3" x14ac:dyDescent="0.25">
      <c r="A928" s="46" t="s">
        <v>2595</v>
      </c>
      <c r="B928" s="46" t="s">
        <v>2595</v>
      </c>
      <c r="C928" s="47">
        <v>1658024852</v>
      </c>
    </row>
    <row r="929" spans="1:3" x14ac:dyDescent="0.25">
      <c r="A929" s="46" t="s">
        <v>2596</v>
      </c>
      <c r="B929" s="46" t="s">
        <v>2597</v>
      </c>
      <c r="C929" s="47">
        <v>7721045804</v>
      </c>
    </row>
    <row r="930" spans="1:3" x14ac:dyDescent="0.25">
      <c r="A930" s="46" t="s">
        <v>2598</v>
      </c>
      <c r="B930" s="46" t="s">
        <v>2598</v>
      </c>
      <c r="C930" s="47">
        <v>7724261610</v>
      </c>
    </row>
    <row r="931" spans="1:3" x14ac:dyDescent="0.25">
      <c r="A931" s="46" t="s">
        <v>2599</v>
      </c>
      <c r="B931" s="46" t="s">
        <v>2600</v>
      </c>
      <c r="C931" s="47">
        <v>7708709686</v>
      </c>
    </row>
    <row r="932" spans="1:3" x14ac:dyDescent="0.25">
      <c r="A932" s="46" t="s">
        <v>2601</v>
      </c>
      <c r="B932" s="46" t="s">
        <v>2602</v>
      </c>
      <c r="C932" s="47">
        <v>7702332747</v>
      </c>
    </row>
    <row r="933" spans="1:3" x14ac:dyDescent="0.25">
      <c r="A933" s="46" t="s">
        <v>2603</v>
      </c>
      <c r="B933" s="46" t="s">
        <v>2604</v>
      </c>
      <c r="C933" s="47">
        <v>1657107400</v>
      </c>
    </row>
    <row r="934" spans="1:3" x14ac:dyDescent="0.25">
      <c r="A934" s="46" t="s">
        <v>2605</v>
      </c>
      <c r="B934" s="46" t="s">
        <v>2605</v>
      </c>
      <c r="C934" s="47">
        <v>7702070139</v>
      </c>
    </row>
    <row r="935" spans="1:3" x14ac:dyDescent="0.25">
      <c r="A935" s="46" t="s">
        <v>2606</v>
      </c>
      <c r="B935" s="46" t="s">
        <v>2606</v>
      </c>
      <c r="C935" s="47">
        <v>7702070139</v>
      </c>
    </row>
    <row r="936" spans="1:3" x14ac:dyDescent="0.25">
      <c r="A936" s="46" t="s">
        <v>2607</v>
      </c>
      <c r="B936" s="46" t="s">
        <v>2607</v>
      </c>
      <c r="C936" s="47">
        <v>7702070139</v>
      </c>
    </row>
    <row r="937" spans="1:3" x14ac:dyDescent="0.25">
      <c r="A937" s="46" t="s">
        <v>2608</v>
      </c>
      <c r="B937" s="46" t="s">
        <v>2608</v>
      </c>
      <c r="C937" s="47">
        <v>7702070139</v>
      </c>
    </row>
    <row r="938" spans="1:3" x14ac:dyDescent="0.25">
      <c r="A938" s="46" t="s">
        <v>2609</v>
      </c>
      <c r="B938" s="46" t="s">
        <v>2610</v>
      </c>
      <c r="C938" s="47">
        <v>7744001497</v>
      </c>
    </row>
    <row r="939" spans="1:3" x14ac:dyDescent="0.25">
      <c r="A939" s="46" t="s">
        <v>2611</v>
      </c>
      <c r="B939" s="46" t="s">
        <v>2612</v>
      </c>
      <c r="C939" s="47">
        <v>1650072607</v>
      </c>
    </row>
    <row r="940" spans="1:3" x14ac:dyDescent="0.25">
      <c r="A940" s="46" t="s">
        <v>2613</v>
      </c>
      <c r="B940" s="46" t="s">
        <v>2613</v>
      </c>
      <c r="C940" s="47"/>
    </row>
    <row r="941" spans="1:3" x14ac:dyDescent="0.25">
      <c r="A941" s="46" t="s">
        <v>2614</v>
      </c>
      <c r="B941" s="46" t="s">
        <v>2615</v>
      </c>
      <c r="C941" s="47">
        <v>1650006259</v>
      </c>
    </row>
    <row r="942" spans="1:3" x14ac:dyDescent="0.25">
      <c r="A942" s="46" t="s">
        <v>2616</v>
      </c>
      <c r="B942" s="46" t="s">
        <v>2617</v>
      </c>
      <c r="C942" s="47">
        <v>1650083870</v>
      </c>
    </row>
    <row r="943" spans="1:3" x14ac:dyDescent="0.25">
      <c r="A943" s="46" t="s">
        <v>621</v>
      </c>
      <c r="B943" s="46" t="s">
        <v>621</v>
      </c>
      <c r="C943" s="47">
        <v>165015112902</v>
      </c>
    </row>
    <row r="944" spans="1:3" x14ac:dyDescent="0.25">
      <c r="A944" s="46" t="s">
        <v>2618</v>
      </c>
      <c r="B944" s="46" t="s">
        <v>2619</v>
      </c>
      <c r="C944" s="47">
        <v>1655003950</v>
      </c>
    </row>
    <row r="945" spans="1:3" x14ac:dyDescent="0.25">
      <c r="A945" s="46" t="s">
        <v>2620</v>
      </c>
      <c r="B945" s="46" t="s">
        <v>2621</v>
      </c>
      <c r="C945" s="47">
        <v>162612154241</v>
      </c>
    </row>
    <row r="946" spans="1:3" x14ac:dyDescent="0.25">
      <c r="A946" s="46" t="s">
        <v>2622</v>
      </c>
      <c r="B946" s="46" t="s">
        <v>2623</v>
      </c>
      <c r="C946" s="47">
        <v>7714905270</v>
      </c>
    </row>
    <row r="947" spans="1:3" x14ac:dyDescent="0.25">
      <c r="A947" s="46" t="s">
        <v>2624</v>
      </c>
      <c r="B947" s="46" t="s">
        <v>2625</v>
      </c>
      <c r="C947" s="47">
        <v>165041012774</v>
      </c>
    </row>
    <row r="948" spans="1:3" x14ac:dyDescent="0.25">
      <c r="A948" s="46" t="s">
        <v>2626</v>
      </c>
      <c r="B948" s="46" t="s">
        <v>2626</v>
      </c>
      <c r="C948" s="47">
        <v>165117970875</v>
      </c>
    </row>
    <row r="949" spans="1:3" x14ac:dyDescent="0.25">
      <c r="A949" s="46" t="s">
        <v>2627</v>
      </c>
      <c r="B949" s="46" t="s">
        <v>2627</v>
      </c>
      <c r="C949" s="47">
        <v>164606992802</v>
      </c>
    </row>
    <row r="950" spans="1:3" x14ac:dyDescent="0.25">
      <c r="A950" s="46" t="s">
        <v>2628</v>
      </c>
      <c r="B950" s="46" t="s">
        <v>2629</v>
      </c>
      <c r="C950" s="47">
        <v>165050725806</v>
      </c>
    </row>
    <row r="951" spans="1:3" x14ac:dyDescent="0.25">
      <c r="A951" s="46" t="s">
        <v>2630</v>
      </c>
      <c r="B951" s="46" t="s">
        <v>2631</v>
      </c>
      <c r="C951" s="47">
        <v>165044998202</v>
      </c>
    </row>
    <row r="952" spans="1:3" x14ac:dyDescent="0.25">
      <c r="A952" s="46" t="s">
        <v>2632</v>
      </c>
      <c r="B952" s="46" t="s">
        <v>2632</v>
      </c>
      <c r="C952" s="47">
        <v>890410626841</v>
      </c>
    </row>
    <row r="953" spans="1:3" x14ac:dyDescent="0.25">
      <c r="A953" s="46" t="s">
        <v>2633</v>
      </c>
      <c r="B953" s="46" t="s">
        <v>2634</v>
      </c>
      <c r="C953" s="47">
        <v>161601641883</v>
      </c>
    </row>
    <row r="954" spans="1:3" x14ac:dyDescent="0.25">
      <c r="A954" s="46" t="s">
        <v>2635</v>
      </c>
      <c r="B954" s="46" t="s">
        <v>2636</v>
      </c>
      <c r="C954" s="47">
        <v>7714852109</v>
      </c>
    </row>
    <row r="955" spans="1:3" x14ac:dyDescent="0.25">
      <c r="A955" s="46" t="s">
        <v>2637</v>
      </c>
      <c r="B955" s="46" t="s">
        <v>2638</v>
      </c>
      <c r="C955" s="47">
        <v>165033418795</v>
      </c>
    </row>
    <row r="956" spans="1:3" x14ac:dyDescent="0.25">
      <c r="A956" s="46" t="s">
        <v>2639</v>
      </c>
      <c r="B956" s="46" t="s">
        <v>2640</v>
      </c>
      <c r="C956" s="47">
        <v>7710050305</v>
      </c>
    </row>
    <row r="957" spans="1:3" x14ac:dyDescent="0.25">
      <c r="A957" s="46" t="s">
        <v>2641</v>
      </c>
      <c r="B957" s="46" t="s">
        <v>2642</v>
      </c>
      <c r="C957" s="47">
        <v>1627001703</v>
      </c>
    </row>
    <row r="958" spans="1:3" x14ac:dyDescent="0.25">
      <c r="A958" s="46" t="s">
        <v>2643</v>
      </c>
      <c r="B958" s="46" t="s">
        <v>2644</v>
      </c>
      <c r="C958" s="47">
        <v>9717064981</v>
      </c>
    </row>
    <row r="959" spans="1:3" x14ac:dyDescent="0.25">
      <c r="A959" s="46" t="s">
        <v>2645</v>
      </c>
      <c r="B959" s="46" t="s">
        <v>2646</v>
      </c>
      <c r="C959" s="47">
        <v>5020000618</v>
      </c>
    </row>
    <row r="960" spans="1:3" x14ac:dyDescent="0.25">
      <c r="A960" s="46" t="s">
        <v>2647</v>
      </c>
      <c r="B960" s="46" t="s">
        <v>2648</v>
      </c>
      <c r="C960" s="47">
        <v>5904993922</v>
      </c>
    </row>
    <row r="961" spans="1:3" x14ac:dyDescent="0.25">
      <c r="A961" s="46" t="s">
        <v>2649</v>
      </c>
      <c r="B961" s="46" t="s">
        <v>2650</v>
      </c>
      <c r="C961" s="47">
        <v>165043379880</v>
      </c>
    </row>
    <row r="962" spans="1:3" x14ac:dyDescent="0.25">
      <c r="A962" s="46" t="s">
        <v>2651</v>
      </c>
      <c r="B962" s="46" t="s">
        <v>2652</v>
      </c>
      <c r="C962" s="47">
        <v>165053599130</v>
      </c>
    </row>
    <row r="963" spans="1:3" x14ac:dyDescent="0.25">
      <c r="A963" s="46" t="s">
        <v>629</v>
      </c>
      <c r="B963" s="46" t="s">
        <v>629</v>
      </c>
      <c r="C963" s="47">
        <v>164606647450</v>
      </c>
    </row>
    <row r="964" spans="1:3" x14ac:dyDescent="0.25">
      <c r="A964" s="46" t="s">
        <v>2653</v>
      </c>
      <c r="B964" s="46" t="s">
        <v>2653</v>
      </c>
      <c r="C964" s="47">
        <v>164607714406</v>
      </c>
    </row>
    <row r="965" spans="1:3" x14ac:dyDescent="0.25">
      <c r="A965" s="46" t="s">
        <v>2654</v>
      </c>
      <c r="B965" s="46" t="s">
        <v>2655</v>
      </c>
      <c r="C965" s="47">
        <v>1650169729</v>
      </c>
    </row>
    <row r="966" spans="1:3" x14ac:dyDescent="0.25">
      <c r="A966" s="46" t="s">
        <v>2656</v>
      </c>
      <c r="B966" s="46" t="s">
        <v>2657</v>
      </c>
      <c r="C966" s="47">
        <v>5027045248</v>
      </c>
    </row>
    <row r="967" spans="1:3" x14ac:dyDescent="0.25">
      <c r="A967" s="46" t="s">
        <v>2658</v>
      </c>
      <c r="B967" s="46" t="s">
        <v>2659</v>
      </c>
      <c r="C967" s="47">
        <v>541991303370</v>
      </c>
    </row>
    <row r="968" spans="1:3" x14ac:dyDescent="0.25">
      <c r="A968" s="46" t="s">
        <v>2660</v>
      </c>
      <c r="B968" s="46" t="s">
        <v>2661</v>
      </c>
      <c r="C968" s="47">
        <v>7708550371</v>
      </c>
    </row>
    <row r="969" spans="1:3" x14ac:dyDescent="0.25">
      <c r="A969" s="46" t="s">
        <v>2662</v>
      </c>
      <c r="B969" s="46" t="s">
        <v>2663</v>
      </c>
      <c r="C969" s="47">
        <v>165056752500</v>
      </c>
    </row>
    <row r="970" spans="1:3" x14ac:dyDescent="0.25">
      <c r="A970" s="46" t="s">
        <v>2664</v>
      </c>
      <c r="B970" s="46" t="s">
        <v>2664</v>
      </c>
      <c r="C970" s="47">
        <v>163900448190</v>
      </c>
    </row>
    <row r="971" spans="1:3" x14ac:dyDescent="0.25">
      <c r="A971" s="46" t="s">
        <v>2665</v>
      </c>
      <c r="B971" s="46" t="s">
        <v>2666</v>
      </c>
      <c r="C971" s="47">
        <v>165029281509</v>
      </c>
    </row>
    <row r="972" spans="1:3" x14ac:dyDescent="0.25">
      <c r="A972" s="46" t="s">
        <v>2667</v>
      </c>
      <c r="B972" s="46" t="s">
        <v>2668</v>
      </c>
      <c r="C972" s="47">
        <v>7718620740</v>
      </c>
    </row>
    <row r="973" spans="1:3" x14ac:dyDescent="0.25">
      <c r="A973" s="46" t="s">
        <v>2669</v>
      </c>
      <c r="B973" s="46" t="s">
        <v>2670</v>
      </c>
      <c r="C973" s="47">
        <v>8901016378</v>
      </c>
    </row>
    <row r="974" spans="1:3" x14ac:dyDescent="0.25">
      <c r="A974" s="46" t="s">
        <v>2671</v>
      </c>
      <c r="B974" s="46" t="s">
        <v>2672</v>
      </c>
      <c r="C974" s="47">
        <v>1657190173</v>
      </c>
    </row>
    <row r="975" spans="1:3" x14ac:dyDescent="0.25">
      <c r="A975" s="46" t="s">
        <v>2673</v>
      </c>
      <c r="B975" s="46" t="s">
        <v>2674</v>
      </c>
      <c r="C975" s="47">
        <v>1658028462</v>
      </c>
    </row>
    <row r="976" spans="1:3" x14ac:dyDescent="0.25">
      <c r="A976" s="46" t="s">
        <v>2675</v>
      </c>
      <c r="B976" s="46" t="s">
        <v>2676</v>
      </c>
      <c r="C976" s="47">
        <v>1650318191</v>
      </c>
    </row>
    <row r="977" spans="1:3" x14ac:dyDescent="0.25">
      <c r="A977" s="46" t="s">
        <v>2677</v>
      </c>
      <c r="B977" s="46" t="s">
        <v>2678</v>
      </c>
      <c r="C977" s="47">
        <v>1650272740</v>
      </c>
    </row>
    <row r="978" spans="1:3" x14ac:dyDescent="0.25">
      <c r="A978" s="46" t="s">
        <v>2679</v>
      </c>
      <c r="B978" s="46" t="s">
        <v>2680</v>
      </c>
      <c r="C978" s="47">
        <v>1657227867</v>
      </c>
    </row>
    <row r="979" spans="1:3" x14ac:dyDescent="0.25">
      <c r="A979" s="46" t="s">
        <v>2681</v>
      </c>
      <c r="B979" s="46" t="s">
        <v>2682</v>
      </c>
      <c r="C979" s="47">
        <v>5034031535</v>
      </c>
    </row>
    <row r="980" spans="1:3" x14ac:dyDescent="0.25">
      <c r="A980" s="46" t="s">
        <v>2683</v>
      </c>
      <c r="B980" s="46" t="s">
        <v>2684</v>
      </c>
      <c r="C980" s="47">
        <v>1660199088</v>
      </c>
    </row>
    <row r="981" spans="1:3" x14ac:dyDescent="0.25">
      <c r="A981" s="46" t="s">
        <v>2685</v>
      </c>
      <c r="B981" s="46" t="s">
        <v>2686</v>
      </c>
      <c r="C981" s="47">
        <v>1654007920</v>
      </c>
    </row>
    <row r="982" spans="1:3" x14ac:dyDescent="0.25">
      <c r="A982" s="46" t="s">
        <v>2687</v>
      </c>
      <c r="B982" s="46" t="s">
        <v>2688</v>
      </c>
      <c r="C982" s="47">
        <v>1644040942</v>
      </c>
    </row>
    <row r="983" spans="1:3" x14ac:dyDescent="0.25">
      <c r="A983" s="46" t="s">
        <v>2689</v>
      </c>
      <c r="B983" s="46" t="s">
        <v>2690</v>
      </c>
      <c r="C983" s="47">
        <v>1660000697</v>
      </c>
    </row>
    <row r="984" spans="1:3" x14ac:dyDescent="0.25">
      <c r="A984" s="46" t="s">
        <v>2691</v>
      </c>
      <c r="B984" s="46" t="s">
        <v>2692</v>
      </c>
      <c r="C984" s="47">
        <v>7701025510</v>
      </c>
    </row>
    <row r="985" spans="1:3" x14ac:dyDescent="0.25">
      <c r="A985" s="46" t="s">
        <v>2693</v>
      </c>
      <c r="B985" s="46" t="s">
        <v>2693</v>
      </c>
      <c r="C985" s="47">
        <v>510402299616</v>
      </c>
    </row>
    <row r="986" spans="1:3" x14ac:dyDescent="0.25">
      <c r="A986" s="46" t="s">
        <v>2694</v>
      </c>
      <c r="B986" s="46" t="s">
        <v>2695</v>
      </c>
      <c r="C986" s="47">
        <v>7729108750</v>
      </c>
    </row>
    <row r="987" spans="1:3" x14ac:dyDescent="0.25">
      <c r="A987" s="46" t="s">
        <v>2696</v>
      </c>
      <c r="B987" s="46" t="s">
        <v>2697</v>
      </c>
      <c r="C987" s="47">
        <v>165032076267</v>
      </c>
    </row>
    <row r="988" spans="1:3" x14ac:dyDescent="0.25">
      <c r="A988" s="46" t="s">
        <v>2698</v>
      </c>
      <c r="B988" s="46" t="s">
        <v>2699</v>
      </c>
      <c r="C988" s="47">
        <v>2128000600</v>
      </c>
    </row>
    <row r="989" spans="1:3" x14ac:dyDescent="0.25">
      <c r="A989" s="46" t="s">
        <v>2700</v>
      </c>
      <c r="B989" s="46" t="s">
        <v>2701</v>
      </c>
      <c r="C989" s="47">
        <v>2127011695</v>
      </c>
    </row>
    <row r="990" spans="1:3" x14ac:dyDescent="0.25">
      <c r="A990" s="46" t="s">
        <v>2702</v>
      </c>
      <c r="B990" s="46" t="s">
        <v>2703</v>
      </c>
      <c r="C990" s="47">
        <v>165700854375</v>
      </c>
    </row>
    <row r="991" spans="1:3" x14ac:dyDescent="0.25">
      <c r="A991" s="46" t="s">
        <v>2704</v>
      </c>
      <c r="B991" s="46" t="s">
        <v>2705</v>
      </c>
      <c r="C991" s="47">
        <v>165201418302</v>
      </c>
    </row>
    <row r="992" spans="1:3" x14ac:dyDescent="0.25">
      <c r="A992" s="46" t="s">
        <v>2706</v>
      </c>
      <c r="B992" s="46" t="s">
        <v>2706</v>
      </c>
      <c r="C992" s="47">
        <v>761104118020</v>
      </c>
    </row>
    <row r="993" spans="1:3" x14ac:dyDescent="0.25">
      <c r="A993" s="46" t="s">
        <v>2707</v>
      </c>
      <c r="B993" s="46" t="s">
        <v>2708</v>
      </c>
      <c r="C993" s="47">
        <v>166107240977</v>
      </c>
    </row>
    <row r="994" spans="1:3" x14ac:dyDescent="0.25">
      <c r="A994" s="46" t="s">
        <v>2709</v>
      </c>
      <c r="B994" s="46" t="s">
        <v>2710</v>
      </c>
      <c r="C994" s="47">
        <v>165036860627</v>
      </c>
    </row>
    <row r="995" spans="1:3" x14ac:dyDescent="0.25">
      <c r="A995" s="46" t="s">
        <v>2711</v>
      </c>
      <c r="B995" s="46" t="s">
        <v>2712</v>
      </c>
      <c r="C995" s="47">
        <v>165124231650</v>
      </c>
    </row>
    <row r="996" spans="1:3" x14ac:dyDescent="0.25">
      <c r="A996" s="46" t="s">
        <v>2713</v>
      </c>
      <c r="B996" s="46" t="s">
        <v>2714</v>
      </c>
      <c r="C996" s="47">
        <v>590400034615</v>
      </c>
    </row>
    <row r="997" spans="1:3" x14ac:dyDescent="0.25">
      <c r="A997" s="46" t="s">
        <v>2715</v>
      </c>
      <c r="B997" s="46" t="s">
        <v>2715</v>
      </c>
      <c r="C997" s="47">
        <v>380407750542</v>
      </c>
    </row>
    <row r="998" spans="1:3" x14ac:dyDescent="0.25">
      <c r="A998" s="46" t="s">
        <v>2716</v>
      </c>
      <c r="B998" s="46" t="s">
        <v>2717</v>
      </c>
      <c r="C998" s="47">
        <v>1657201026</v>
      </c>
    </row>
    <row r="999" spans="1:3" x14ac:dyDescent="0.25">
      <c r="A999" s="46" t="s">
        <v>2718</v>
      </c>
      <c r="B999" s="46" t="s">
        <v>2719</v>
      </c>
      <c r="C999" s="47">
        <v>212412328847</v>
      </c>
    </row>
    <row r="1000" spans="1:3" x14ac:dyDescent="0.25">
      <c r="A1000" s="46" t="s">
        <v>2720</v>
      </c>
      <c r="B1000" s="46" t="s">
        <v>2720</v>
      </c>
      <c r="C1000" s="47"/>
    </row>
    <row r="1001" spans="1:3" x14ac:dyDescent="0.25">
      <c r="A1001" s="46" t="s">
        <v>2721</v>
      </c>
      <c r="B1001" s="46" t="s">
        <v>2722</v>
      </c>
      <c r="C1001" s="47">
        <v>7712092928</v>
      </c>
    </row>
    <row r="1002" spans="1:3" x14ac:dyDescent="0.25">
      <c r="A1002" s="46" t="s">
        <v>2723</v>
      </c>
      <c r="B1002" s="46" t="s">
        <v>2724</v>
      </c>
      <c r="C1002" s="47">
        <v>7707631042</v>
      </c>
    </row>
    <row r="1003" spans="1:3" x14ac:dyDescent="0.25">
      <c r="A1003" s="46" t="s">
        <v>2725</v>
      </c>
      <c r="B1003" s="46" t="s">
        <v>2726</v>
      </c>
      <c r="C1003" s="47">
        <v>7720623643</v>
      </c>
    </row>
    <row r="1004" spans="1:3" x14ac:dyDescent="0.25">
      <c r="A1004" s="46" t="s">
        <v>651</v>
      </c>
      <c r="B1004" s="46" t="s">
        <v>651</v>
      </c>
      <c r="C1004" s="47">
        <v>165017138744</v>
      </c>
    </row>
    <row r="1005" spans="1:3" x14ac:dyDescent="0.25">
      <c r="A1005" s="46" t="s">
        <v>2727</v>
      </c>
      <c r="B1005" s="46" t="s">
        <v>2727</v>
      </c>
      <c r="C1005" s="47">
        <v>524404310033</v>
      </c>
    </row>
    <row r="1006" spans="1:3" x14ac:dyDescent="0.25">
      <c r="A1006" s="46" t="s">
        <v>2728</v>
      </c>
      <c r="B1006" s="46" t="s">
        <v>2729</v>
      </c>
      <c r="C1006" s="47">
        <v>773104677163</v>
      </c>
    </row>
    <row r="1007" spans="1:3" x14ac:dyDescent="0.25">
      <c r="A1007" s="46" t="s">
        <v>2730</v>
      </c>
      <c r="B1007" s="46" t="s">
        <v>2730</v>
      </c>
      <c r="C1007" s="47">
        <v>711609121390</v>
      </c>
    </row>
    <row r="1008" spans="1:3" x14ac:dyDescent="0.25">
      <c r="A1008" s="46" t="s">
        <v>2731</v>
      </c>
      <c r="B1008" s="46" t="s">
        <v>2732</v>
      </c>
      <c r="C1008" s="47">
        <v>3714486624</v>
      </c>
    </row>
    <row r="1009" spans="1:3" x14ac:dyDescent="0.25">
      <c r="A1009" s="46" t="s">
        <v>2733</v>
      </c>
      <c r="B1009" s="46" t="s">
        <v>2734</v>
      </c>
      <c r="C1009" s="47">
        <v>278214301</v>
      </c>
    </row>
    <row r="1010" spans="1:3" x14ac:dyDescent="0.25">
      <c r="A1010" s="46" t="s">
        <v>2735</v>
      </c>
      <c r="B1010" s="46" t="s">
        <v>2736</v>
      </c>
      <c r="C1010" s="47">
        <v>2129035243</v>
      </c>
    </row>
    <row r="1011" spans="1:3" x14ac:dyDescent="0.25">
      <c r="A1011" s="46" t="s">
        <v>2737</v>
      </c>
      <c r="B1011" s="46" t="s">
        <v>2738</v>
      </c>
      <c r="C1011" s="47">
        <v>1659189374</v>
      </c>
    </row>
    <row r="1012" spans="1:3" x14ac:dyDescent="0.25">
      <c r="A1012" s="46" t="s">
        <v>2739</v>
      </c>
      <c r="B1012" s="46" t="s">
        <v>2740</v>
      </c>
      <c r="C1012" s="47">
        <v>1660194266</v>
      </c>
    </row>
    <row r="1013" spans="1:3" x14ac:dyDescent="0.25">
      <c r="A1013" s="46" t="s">
        <v>2741</v>
      </c>
      <c r="B1013" s="46" t="s">
        <v>2742</v>
      </c>
      <c r="C1013" s="47">
        <v>1658176100</v>
      </c>
    </row>
    <row r="1014" spans="1:3" x14ac:dyDescent="0.25">
      <c r="A1014" s="46" t="s">
        <v>2743</v>
      </c>
      <c r="B1014" s="46" t="s">
        <v>2744</v>
      </c>
      <c r="C1014" s="47">
        <v>7735125545</v>
      </c>
    </row>
    <row r="1015" spans="1:3" x14ac:dyDescent="0.25">
      <c r="A1015" s="46" t="s">
        <v>2745</v>
      </c>
      <c r="B1015" s="46" t="s">
        <v>2746</v>
      </c>
      <c r="C1015" s="47">
        <v>7453160365</v>
      </c>
    </row>
    <row r="1016" spans="1:3" x14ac:dyDescent="0.25">
      <c r="A1016" s="46" t="s">
        <v>2747</v>
      </c>
      <c r="B1016" s="46" t="s">
        <v>2748</v>
      </c>
      <c r="C1016" s="47">
        <v>2129017646</v>
      </c>
    </row>
    <row r="1017" spans="1:3" x14ac:dyDescent="0.25">
      <c r="A1017" s="46" t="s">
        <v>2749</v>
      </c>
      <c r="B1017" s="46" t="s">
        <v>2750</v>
      </c>
      <c r="C1017" s="47">
        <v>2130133291</v>
      </c>
    </row>
    <row r="1018" spans="1:3" x14ac:dyDescent="0.25">
      <c r="A1018" s="46" t="s">
        <v>2751</v>
      </c>
      <c r="B1018" s="46" t="s">
        <v>2752</v>
      </c>
      <c r="C1018" s="47">
        <v>1650170957</v>
      </c>
    </row>
    <row r="1019" spans="1:3" x14ac:dyDescent="0.25">
      <c r="A1019" s="46" t="s">
        <v>2753</v>
      </c>
      <c r="B1019" s="46" t="s">
        <v>2754</v>
      </c>
      <c r="C1019" s="47">
        <v>5260255472</v>
      </c>
    </row>
    <row r="1020" spans="1:3" x14ac:dyDescent="0.25">
      <c r="A1020" s="46" t="s">
        <v>2755</v>
      </c>
      <c r="B1020" s="46" t="s">
        <v>2756</v>
      </c>
      <c r="C1020" s="47">
        <v>2130170529</v>
      </c>
    </row>
    <row r="1021" spans="1:3" x14ac:dyDescent="0.25">
      <c r="A1021" s="46" t="s">
        <v>2757</v>
      </c>
      <c r="B1021" s="46" t="s">
        <v>2758</v>
      </c>
      <c r="C1021" s="47">
        <v>1660138078</v>
      </c>
    </row>
    <row r="1022" spans="1:3" x14ac:dyDescent="0.25">
      <c r="A1022" s="46" t="s">
        <v>2759</v>
      </c>
      <c r="B1022" s="46" t="s">
        <v>2760</v>
      </c>
      <c r="C1022" s="47">
        <v>1659003580</v>
      </c>
    </row>
    <row r="1023" spans="1:3" x14ac:dyDescent="0.25">
      <c r="A1023" s="46" t="s">
        <v>2761</v>
      </c>
      <c r="B1023" s="46" t="s">
        <v>2762</v>
      </c>
      <c r="C1023" s="47">
        <v>6723021081</v>
      </c>
    </row>
    <row r="1024" spans="1:3" x14ac:dyDescent="0.25">
      <c r="A1024" s="46" t="s">
        <v>2763</v>
      </c>
      <c r="B1024" s="46" t="s">
        <v>2764</v>
      </c>
      <c r="C1024" s="47">
        <v>6686129493</v>
      </c>
    </row>
    <row r="1025" spans="1:3" x14ac:dyDescent="0.25">
      <c r="A1025" s="46" t="s">
        <v>2765</v>
      </c>
      <c r="B1025" s="46" t="s">
        <v>2766</v>
      </c>
      <c r="C1025" s="47">
        <v>6686022800</v>
      </c>
    </row>
    <row r="1026" spans="1:3" x14ac:dyDescent="0.25">
      <c r="A1026" s="46" t="s">
        <v>2767</v>
      </c>
      <c r="B1026" s="46" t="s">
        <v>2768</v>
      </c>
      <c r="C1026" s="47">
        <v>3661024334</v>
      </c>
    </row>
    <row r="1027" spans="1:3" x14ac:dyDescent="0.25">
      <c r="A1027" s="46" t="s">
        <v>2769</v>
      </c>
      <c r="B1027" s="46" t="s">
        <v>2770</v>
      </c>
      <c r="C1027" s="47">
        <v>3664016846</v>
      </c>
    </row>
    <row r="1028" spans="1:3" x14ac:dyDescent="0.25">
      <c r="A1028" s="46" t="s">
        <v>2771</v>
      </c>
      <c r="B1028" s="46" t="s">
        <v>2772</v>
      </c>
      <c r="C1028" s="47">
        <v>7703668940</v>
      </c>
    </row>
    <row r="1029" spans="1:3" x14ac:dyDescent="0.25">
      <c r="A1029" s="46" t="s">
        <v>2773</v>
      </c>
      <c r="B1029" s="46" t="s">
        <v>2774</v>
      </c>
      <c r="C1029" s="47">
        <v>7729633131</v>
      </c>
    </row>
    <row r="1030" spans="1:3" x14ac:dyDescent="0.25">
      <c r="A1030" s="46" t="s">
        <v>2775</v>
      </c>
      <c r="B1030" s="46" t="s">
        <v>2776</v>
      </c>
      <c r="C1030" s="47">
        <v>5052014518</v>
      </c>
    </row>
    <row r="1031" spans="1:3" x14ac:dyDescent="0.25">
      <c r="A1031" s="46" t="s">
        <v>2777</v>
      </c>
      <c r="B1031" s="46" t="s">
        <v>2778</v>
      </c>
      <c r="C1031" s="47">
        <v>7725535824</v>
      </c>
    </row>
    <row r="1032" spans="1:3" x14ac:dyDescent="0.25">
      <c r="A1032" s="46" t="s">
        <v>2779</v>
      </c>
      <c r="B1032" s="46" t="s">
        <v>2780</v>
      </c>
      <c r="C1032" s="47">
        <v>9710008385</v>
      </c>
    </row>
    <row r="1033" spans="1:3" x14ac:dyDescent="0.25">
      <c r="A1033" s="46" t="s">
        <v>2781</v>
      </c>
      <c r="B1033" s="46" t="s">
        <v>2782</v>
      </c>
      <c r="C1033" s="47">
        <v>2128002051</v>
      </c>
    </row>
    <row r="1034" spans="1:3" x14ac:dyDescent="0.25">
      <c r="A1034" s="46" t="s">
        <v>2783</v>
      </c>
      <c r="B1034" s="46" t="s">
        <v>2784</v>
      </c>
      <c r="C1034" s="47">
        <v>7103057121</v>
      </c>
    </row>
    <row r="1035" spans="1:3" x14ac:dyDescent="0.25">
      <c r="A1035" s="46" t="s">
        <v>2785</v>
      </c>
      <c r="B1035" s="46" t="s">
        <v>2786</v>
      </c>
      <c r="C1035" s="47">
        <v>6685085290</v>
      </c>
    </row>
    <row r="1036" spans="1:3" x14ac:dyDescent="0.25">
      <c r="A1036" s="46" t="s">
        <v>2787</v>
      </c>
      <c r="B1036" s="46" t="s">
        <v>2788</v>
      </c>
      <c r="C1036" s="47">
        <v>7723738018</v>
      </c>
    </row>
    <row r="1037" spans="1:3" x14ac:dyDescent="0.25">
      <c r="A1037" s="46" t="s">
        <v>2789</v>
      </c>
      <c r="B1037" s="46" t="s">
        <v>2790</v>
      </c>
      <c r="C1037" s="47">
        <v>1650288589</v>
      </c>
    </row>
    <row r="1038" spans="1:3" x14ac:dyDescent="0.25">
      <c r="A1038" s="46" t="s">
        <v>2791</v>
      </c>
      <c r="B1038" s="46" t="s">
        <v>2792</v>
      </c>
      <c r="C1038" s="47">
        <v>1650306206</v>
      </c>
    </row>
    <row r="1039" spans="1:3" x14ac:dyDescent="0.25">
      <c r="A1039" s="46" t="s">
        <v>2793</v>
      </c>
      <c r="B1039" s="46" t="s">
        <v>2794</v>
      </c>
      <c r="C1039" s="47">
        <v>7804526950</v>
      </c>
    </row>
    <row r="1040" spans="1:3" x14ac:dyDescent="0.25">
      <c r="A1040" s="46" t="s">
        <v>2795</v>
      </c>
      <c r="B1040" s="46" t="s">
        <v>2794</v>
      </c>
      <c r="C1040" s="47">
        <v>7804526950</v>
      </c>
    </row>
    <row r="1041" spans="1:3" x14ac:dyDescent="0.25">
      <c r="A1041" s="46" t="s">
        <v>2796</v>
      </c>
      <c r="B1041" s="46" t="s">
        <v>2797</v>
      </c>
      <c r="C1041" s="47">
        <v>7721249325</v>
      </c>
    </row>
    <row r="1042" spans="1:3" x14ac:dyDescent="0.25">
      <c r="A1042" s="46" t="s">
        <v>2798</v>
      </c>
      <c r="B1042" s="46" t="s">
        <v>2799</v>
      </c>
      <c r="C1042" s="47">
        <v>7722108912</v>
      </c>
    </row>
    <row r="1043" spans="1:3" x14ac:dyDescent="0.25">
      <c r="A1043" s="46" t="s">
        <v>2800</v>
      </c>
      <c r="B1043" s="46" t="s">
        <v>2801</v>
      </c>
      <c r="C1043" s="47">
        <v>277124006</v>
      </c>
    </row>
    <row r="1044" spans="1:3" x14ac:dyDescent="0.25">
      <c r="A1044" s="46" t="s">
        <v>2802</v>
      </c>
      <c r="B1044" s="46" t="s">
        <v>2803</v>
      </c>
      <c r="C1044" s="47">
        <v>3528068281</v>
      </c>
    </row>
    <row r="1045" spans="1:3" x14ac:dyDescent="0.25">
      <c r="A1045" s="46" t="s">
        <v>2804</v>
      </c>
      <c r="B1045" s="46" t="s">
        <v>2805</v>
      </c>
      <c r="C1045" s="47">
        <v>1831096455</v>
      </c>
    </row>
    <row r="1046" spans="1:3" x14ac:dyDescent="0.25">
      <c r="A1046" s="46" t="s">
        <v>2806</v>
      </c>
      <c r="B1046" s="46" t="s">
        <v>2807</v>
      </c>
      <c r="C1046" s="47">
        <v>5262211583</v>
      </c>
    </row>
    <row r="1047" spans="1:3" x14ac:dyDescent="0.25">
      <c r="A1047" s="46" t="s">
        <v>2808</v>
      </c>
      <c r="B1047" s="46" t="s">
        <v>2809</v>
      </c>
      <c r="C1047" s="47">
        <v>5042119529</v>
      </c>
    </row>
    <row r="1048" spans="1:3" x14ac:dyDescent="0.25">
      <c r="A1048" s="46" t="s">
        <v>2810</v>
      </c>
      <c r="B1048" s="46" t="s">
        <v>2811</v>
      </c>
      <c r="C1048" s="47">
        <v>5402133803</v>
      </c>
    </row>
    <row r="1049" spans="1:3" x14ac:dyDescent="0.25">
      <c r="A1049" s="46" t="s">
        <v>2812</v>
      </c>
      <c r="B1049" s="46" t="s">
        <v>2813</v>
      </c>
      <c r="C1049" s="47">
        <v>277078416</v>
      </c>
    </row>
    <row r="1050" spans="1:3" x14ac:dyDescent="0.25">
      <c r="A1050" s="46" t="s">
        <v>2814</v>
      </c>
      <c r="B1050" s="46" t="s">
        <v>2815</v>
      </c>
      <c r="C1050" s="47">
        <v>6713012874</v>
      </c>
    </row>
    <row r="1051" spans="1:3" x14ac:dyDescent="0.25">
      <c r="A1051" s="46" t="s">
        <v>2816</v>
      </c>
      <c r="B1051" s="46" t="s">
        <v>2817</v>
      </c>
      <c r="C1051" s="47">
        <v>5022052844</v>
      </c>
    </row>
    <row r="1052" spans="1:3" x14ac:dyDescent="0.25">
      <c r="A1052" s="46" t="s">
        <v>2818</v>
      </c>
      <c r="B1052" s="46" t="s">
        <v>2819</v>
      </c>
      <c r="C1052" s="47">
        <v>7718290010</v>
      </c>
    </row>
    <row r="1053" spans="1:3" x14ac:dyDescent="0.25">
      <c r="A1053" s="46" t="s">
        <v>2820</v>
      </c>
      <c r="B1053" s="46" t="s">
        <v>2821</v>
      </c>
      <c r="C1053" s="47">
        <v>7719799498</v>
      </c>
    </row>
    <row r="1054" spans="1:3" x14ac:dyDescent="0.25">
      <c r="A1054" s="46" t="s">
        <v>2822</v>
      </c>
      <c r="B1054" s="46" t="s">
        <v>2822</v>
      </c>
      <c r="C1054" s="47">
        <v>7705130530</v>
      </c>
    </row>
    <row r="1055" spans="1:3" x14ac:dyDescent="0.25">
      <c r="A1055" s="46" t="s">
        <v>2823</v>
      </c>
      <c r="B1055" s="46" t="s">
        <v>2824</v>
      </c>
      <c r="C1055" s="47">
        <v>7802806380</v>
      </c>
    </row>
    <row r="1056" spans="1:3" x14ac:dyDescent="0.25">
      <c r="A1056" s="46" t="s">
        <v>492</v>
      </c>
      <c r="B1056" s="46" t="s">
        <v>492</v>
      </c>
      <c r="C1056" s="47">
        <v>166013203306</v>
      </c>
    </row>
    <row r="1057" spans="1:3" x14ac:dyDescent="0.25">
      <c r="A1057" s="46" t="s">
        <v>2825</v>
      </c>
      <c r="B1057" s="46" t="s">
        <v>2826</v>
      </c>
      <c r="C1057" s="47">
        <v>7448191350</v>
      </c>
    </row>
    <row r="1058" spans="1:3" x14ac:dyDescent="0.25">
      <c r="A1058" s="46" t="s">
        <v>2827</v>
      </c>
      <c r="B1058" s="46" t="s">
        <v>2828</v>
      </c>
      <c r="C1058" s="47">
        <v>7728208889</v>
      </c>
    </row>
    <row r="1059" spans="1:3" x14ac:dyDescent="0.25">
      <c r="A1059" s="46" t="s">
        <v>2829</v>
      </c>
      <c r="B1059" s="46" t="s">
        <v>2830</v>
      </c>
      <c r="C1059" s="47">
        <v>7717011584</v>
      </c>
    </row>
    <row r="1060" spans="1:3" x14ac:dyDescent="0.25">
      <c r="A1060" s="46" t="s">
        <v>2831</v>
      </c>
      <c r="B1060" s="46" t="s">
        <v>2832</v>
      </c>
      <c r="C1060" s="47">
        <v>7816600118</v>
      </c>
    </row>
    <row r="1061" spans="1:3" x14ac:dyDescent="0.25">
      <c r="A1061" s="46" t="s">
        <v>2833</v>
      </c>
      <c r="B1061" s="46" t="s">
        <v>2834</v>
      </c>
      <c r="C1061" s="47">
        <v>1656061680</v>
      </c>
    </row>
    <row r="1062" spans="1:3" x14ac:dyDescent="0.25">
      <c r="A1062" s="46" t="s">
        <v>2835</v>
      </c>
      <c r="B1062" s="46" t="s">
        <v>2836</v>
      </c>
      <c r="C1062" s="47">
        <v>277124694</v>
      </c>
    </row>
    <row r="1063" spans="1:3" x14ac:dyDescent="0.25">
      <c r="A1063" s="46" t="s">
        <v>2837</v>
      </c>
      <c r="B1063" s="46" t="s">
        <v>2838</v>
      </c>
      <c r="C1063" s="47">
        <v>1659060451</v>
      </c>
    </row>
    <row r="1064" spans="1:3" x14ac:dyDescent="0.25">
      <c r="A1064" s="46" t="s">
        <v>2839</v>
      </c>
      <c r="B1064" s="46" t="s">
        <v>2840</v>
      </c>
      <c r="C1064" s="47">
        <v>7705041231</v>
      </c>
    </row>
    <row r="1065" spans="1:3" x14ac:dyDescent="0.25">
      <c r="A1065" s="46" t="s">
        <v>2841</v>
      </c>
      <c r="B1065" s="46" t="s">
        <v>2842</v>
      </c>
      <c r="C1065" s="47">
        <v>1658150014</v>
      </c>
    </row>
    <row r="1066" spans="1:3" x14ac:dyDescent="0.25">
      <c r="A1066" s="46" t="s">
        <v>2843</v>
      </c>
      <c r="B1066" s="46" t="s">
        <v>2844</v>
      </c>
      <c r="C1066" s="47">
        <v>6713006246</v>
      </c>
    </row>
    <row r="1067" spans="1:3" x14ac:dyDescent="0.25">
      <c r="A1067" s="46" t="s">
        <v>2845</v>
      </c>
      <c r="B1067" s="46" t="s">
        <v>2846</v>
      </c>
      <c r="C1067" s="47">
        <v>6670413974</v>
      </c>
    </row>
    <row r="1068" spans="1:3" x14ac:dyDescent="0.25">
      <c r="A1068" s="46" t="s">
        <v>2847</v>
      </c>
      <c r="B1068" s="46" t="s">
        <v>2848</v>
      </c>
      <c r="C1068" s="47">
        <v>7814304392</v>
      </c>
    </row>
    <row r="1069" spans="1:3" x14ac:dyDescent="0.25">
      <c r="A1069" s="46" t="s">
        <v>2849</v>
      </c>
      <c r="B1069" s="46" t="s">
        <v>2850</v>
      </c>
      <c r="C1069" s="47">
        <v>4202035324</v>
      </c>
    </row>
    <row r="1070" spans="1:3" x14ac:dyDescent="0.25">
      <c r="A1070" s="46" t="s">
        <v>2851</v>
      </c>
      <c r="B1070" s="46" t="s">
        <v>2852</v>
      </c>
      <c r="C1070" s="47">
        <v>1657043757</v>
      </c>
    </row>
    <row r="1071" spans="1:3" x14ac:dyDescent="0.25">
      <c r="A1071" s="46" t="s">
        <v>2853</v>
      </c>
      <c r="B1071" s="46" t="s">
        <v>2854</v>
      </c>
      <c r="C1071" s="47">
        <v>1661064284</v>
      </c>
    </row>
    <row r="1072" spans="1:3" x14ac:dyDescent="0.25">
      <c r="A1072" s="46" t="s">
        <v>2855</v>
      </c>
      <c r="B1072" s="46" t="s">
        <v>2856</v>
      </c>
      <c r="C1072" s="47">
        <v>6318197896</v>
      </c>
    </row>
    <row r="1073" spans="1:3" x14ac:dyDescent="0.25">
      <c r="A1073" s="46" t="s">
        <v>2857</v>
      </c>
      <c r="B1073" s="46" t="s">
        <v>2858</v>
      </c>
      <c r="C1073" s="47">
        <v>7710753570</v>
      </c>
    </row>
    <row r="1074" spans="1:3" x14ac:dyDescent="0.25">
      <c r="A1074" s="46" t="s">
        <v>2859</v>
      </c>
      <c r="B1074" s="46" t="s">
        <v>2860</v>
      </c>
      <c r="C1074" s="47">
        <v>7719171738</v>
      </c>
    </row>
    <row r="1075" spans="1:3" x14ac:dyDescent="0.25">
      <c r="A1075" s="46" t="s">
        <v>2861</v>
      </c>
      <c r="B1075" s="46" t="s">
        <v>2862</v>
      </c>
      <c r="C1075" s="47">
        <v>6725032297</v>
      </c>
    </row>
    <row r="1076" spans="1:3" x14ac:dyDescent="0.25">
      <c r="A1076" s="46" t="s">
        <v>2863</v>
      </c>
      <c r="B1076" s="46" t="s">
        <v>2864</v>
      </c>
      <c r="C1076" s="47">
        <v>7722330113</v>
      </c>
    </row>
    <row r="1077" spans="1:3" x14ac:dyDescent="0.25">
      <c r="A1077" s="46" t="s">
        <v>2865</v>
      </c>
      <c r="B1077" s="46" t="s">
        <v>2866</v>
      </c>
      <c r="C1077" s="47">
        <v>9715315372</v>
      </c>
    </row>
    <row r="1078" spans="1:3" x14ac:dyDescent="0.25">
      <c r="A1078" s="46" t="s">
        <v>2867</v>
      </c>
      <c r="B1078" s="46" t="s">
        <v>2868</v>
      </c>
      <c r="C1078" s="47">
        <v>1661014607</v>
      </c>
    </row>
    <row r="1079" spans="1:3" x14ac:dyDescent="0.25">
      <c r="A1079" s="46" t="s">
        <v>2869</v>
      </c>
      <c r="B1079" s="46" t="s">
        <v>2870</v>
      </c>
      <c r="C1079" s="47">
        <v>7447041546</v>
      </c>
    </row>
    <row r="1080" spans="1:3" x14ac:dyDescent="0.25">
      <c r="A1080" s="46" t="s">
        <v>2871</v>
      </c>
      <c r="B1080" s="46" t="s">
        <v>2872</v>
      </c>
      <c r="C1080" s="47">
        <v>3808052100</v>
      </c>
    </row>
    <row r="1081" spans="1:3" x14ac:dyDescent="0.25">
      <c r="A1081" s="46" t="s">
        <v>2873</v>
      </c>
      <c r="B1081" s="46" t="s">
        <v>2874</v>
      </c>
      <c r="C1081" s="47">
        <v>105046980</v>
      </c>
    </row>
    <row r="1082" spans="1:3" x14ac:dyDescent="0.25">
      <c r="A1082" s="46" t="s">
        <v>2875</v>
      </c>
      <c r="B1082" s="46" t="s">
        <v>2876</v>
      </c>
      <c r="C1082" s="47">
        <v>7728854025</v>
      </c>
    </row>
    <row r="1083" spans="1:3" x14ac:dyDescent="0.25">
      <c r="A1083" s="46" t="s">
        <v>2877</v>
      </c>
      <c r="B1083" s="46" t="s">
        <v>2877</v>
      </c>
      <c r="C1083" s="47"/>
    </row>
    <row r="1084" spans="1:3" x14ac:dyDescent="0.25">
      <c r="A1084" s="46" t="s">
        <v>2878</v>
      </c>
      <c r="B1084" s="46" t="s">
        <v>2879</v>
      </c>
      <c r="C1084" s="47">
        <v>5402494461</v>
      </c>
    </row>
    <row r="1085" spans="1:3" x14ac:dyDescent="0.25">
      <c r="A1085" s="46" t="s">
        <v>2880</v>
      </c>
      <c r="B1085" s="46" t="s">
        <v>2881</v>
      </c>
      <c r="C1085" s="47">
        <v>5906124484</v>
      </c>
    </row>
    <row r="1086" spans="1:3" x14ac:dyDescent="0.25">
      <c r="A1086" s="46" t="s">
        <v>2882</v>
      </c>
      <c r="B1086" s="46" t="s">
        <v>2883</v>
      </c>
      <c r="C1086" s="47">
        <v>6319060894</v>
      </c>
    </row>
    <row r="1087" spans="1:3" x14ac:dyDescent="0.25">
      <c r="A1087" s="46" t="s">
        <v>2884</v>
      </c>
      <c r="B1087" s="46" t="s">
        <v>2885</v>
      </c>
      <c r="C1087" s="47">
        <v>7734739292</v>
      </c>
    </row>
    <row r="1088" spans="1:3" x14ac:dyDescent="0.25">
      <c r="A1088" s="46" t="s">
        <v>2886</v>
      </c>
      <c r="B1088" s="46" t="s">
        <v>2887</v>
      </c>
      <c r="C1088" s="47">
        <v>5902202276</v>
      </c>
    </row>
    <row r="1089" spans="1:3" x14ac:dyDescent="0.25">
      <c r="A1089" s="46" t="s">
        <v>2888</v>
      </c>
      <c r="B1089" s="46" t="s">
        <v>2887</v>
      </c>
      <c r="C1089" s="47">
        <v>5902202276</v>
      </c>
    </row>
    <row r="1090" spans="1:3" x14ac:dyDescent="0.25">
      <c r="A1090" s="46" t="s">
        <v>2889</v>
      </c>
      <c r="B1090" s="46" t="s">
        <v>2890</v>
      </c>
      <c r="C1090" s="47">
        <v>1650176684</v>
      </c>
    </row>
    <row r="1091" spans="1:3" x14ac:dyDescent="0.25">
      <c r="A1091" s="46" t="s">
        <v>2891</v>
      </c>
      <c r="B1091" s="46" t="s">
        <v>2892</v>
      </c>
      <c r="C1091" s="47">
        <v>7734543109</v>
      </c>
    </row>
    <row r="1092" spans="1:3" x14ac:dyDescent="0.25">
      <c r="A1092" s="46" t="s">
        <v>2893</v>
      </c>
      <c r="B1092" s="46" t="s">
        <v>2894</v>
      </c>
      <c r="C1092" s="47">
        <v>5504087401</v>
      </c>
    </row>
    <row r="1093" spans="1:3" x14ac:dyDescent="0.25">
      <c r="A1093" s="46" t="s">
        <v>2895</v>
      </c>
      <c r="B1093" s="46" t="s">
        <v>2896</v>
      </c>
      <c r="C1093" s="47">
        <v>5029204454</v>
      </c>
    </row>
    <row r="1094" spans="1:3" x14ac:dyDescent="0.25">
      <c r="A1094" s="46" t="s">
        <v>2897</v>
      </c>
      <c r="B1094" s="46" t="s">
        <v>2898</v>
      </c>
      <c r="C1094" s="47">
        <v>7733323012</v>
      </c>
    </row>
    <row r="1095" spans="1:3" x14ac:dyDescent="0.25">
      <c r="A1095" s="46" t="s">
        <v>2899</v>
      </c>
      <c r="B1095" s="46" t="s">
        <v>2900</v>
      </c>
      <c r="C1095" s="47">
        <v>6166102826</v>
      </c>
    </row>
    <row r="1096" spans="1:3" x14ac:dyDescent="0.25">
      <c r="A1096" s="46" t="s">
        <v>2901</v>
      </c>
      <c r="B1096" s="46" t="s">
        <v>2902</v>
      </c>
      <c r="C1096" s="47">
        <v>7724514910</v>
      </c>
    </row>
    <row r="1097" spans="1:3" x14ac:dyDescent="0.25">
      <c r="A1097" s="46" t="s">
        <v>2903</v>
      </c>
      <c r="B1097" s="46" t="s">
        <v>2904</v>
      </c>
      <c r="C1097" s="47">
        <v>1655218458</v>
      </c>
    </row>
    <row r="1098" spans="1:3" x14ac:dyDescent="0.25">
      <c r="A1098" s="46" t="s">
        <v>2905</v>
      </c>
      <c r="B1098" s="46" t="s">
        <v>2906</v>
      </c>
      <c r="C1098" s="47">
        <v>7424032866</v>
      </c>
    </row>
    <row r="1099" spans="1:3" x14ac:dyDescent="0.25">
      <c r="A1099" s="46" t="s">
        <v>2907</v>
      </c>
      <c r="B1099" s="46" t="s">
        <v>2908</v>
      </c>
      <c r="C1099" s="47">
        <v>4228010684</v>
      </c>
    </row>
    <row r="1100" spans="1:3" x14ac:dyDescent="0.25">
      <c r="A1100" s="46" t="s">
        <v>2909</v>
      </c>
      <c r="B1100" s="46" t="s">
        <v>2910</v>
      </c>
      <c r="C1100" s="47">
        <v>7731629710</v>
      </c>
    </row>
    <row r="1101" spans="1:3" x14ac:dyDescent="0.25">
      <c r="A1101" s="46" t="s">
        <v>2911</v>
      </c>
      <c r="B1101" s="46" t="s">
        <v>2912</v>
      </c>
      <c r="C1101" s="47">
        <v>8602067092</v>
      </c>
    </row>
    <row r="1102" spans="1:3" x14ac:dyDescent="0.25">
      <c r="A1102" s="46" t="s">
        <v>637</v>
      </c>
      <c r="B1102" s="46" t="s">
        <v>637</v>
      </c>
      <c r="C1102" s="47"/>
    </row>
    <row r="1103" spans="1:3" x14ac:dyDescent="0.25">
      <c r="A1103" s="46" t="s">
        <v>2913</v>
      </c>
      <c r="B1103" s="46" t="s">
        <v>2914</v>
      </c>
      <c r="C1103" s="47">
        <v>7704340310</v>
      </c>
    </row>
    <row r="1104" spans="1:3" x14ac:dyDescent="0.25">
      <c r="A1104" s="46" t="s">
        <v>2915</v>
      </c>
      <c r="B1104" s="46" t="s">
        <v>2915</v>
      </c>
      <c r="C1104" s="47">
        <v>382006824991</v>
      </c>
    </row>
    <row r="1105" spans="1:3" x14ac:dyDescent="0.25">
      <c r="A1105" s="46" t="s">
        <v>2916</v>
      </c>
      <c r="B1105" s="46" t="s">
        <v>2916</v>
      </c>
      <c r="C1105" s="47"/>
    </row>
    <row r="1106" spans="1:3" x14ac:dyDescent="0.25">
      <c r="A1106" s="46" t="s">
        <v>2917</v>
      </c>
      <c r="B1106" s="46" t="s">
        <v>2918</v>
      </c>
      <c r="C1106" s="47"/>
    </row>
    <row r="1107" spans="1:3" x14ac:dyDescent="0.25">
      <c r="A1107" s="46" t="s">
        <v>2919</v>
      </c>
      <c r="B1107" s="46" t="s">
        <v>2920</v>
      </c>
      <c r="C1107" s="47">
        <v>1659206647</v>
      </c>
    </row>
    <row r="1108" spans="1:3" x14ac:dyDescent="0.25">
      <c r="A1108" s="46" t="s">
        <v>917</v>
      </c>
      <c r="B1108" s="46" t="s">
        <v>918</v>
      </c>
      <c r="C1108" s="47">
        <v>7731262780</v>
      </c>
    </row>
    <row r="1109" spans="1:3" x14ac:dyDescent="0.25">
      <c r="A1109" s="46" t="s">
        <v>919</v>
      </c>
      <c r="B1109" s="46" t="s">
        <v>920</v>
      </c>
      <c r="C1109" s="47">
        <v>1657248190</v>
      </c>
    </row>
    <row r="1110" spans="1:3" x14ac:dyDescent="0.25">
      <c r="A1110" s="46" t="s">
        <v>2921</v>
      </c>
      <c r="B1110" s="46" t="s">
        <v>922</v>
      </c>
      <c r="C1110" s="47">
        <v>2128006240</v>
      </c>
    </row>
    <row r="1111" spans="1:3" x14ac:dyDescent="0.25">
      <c r="A1111" s="46" t="s">
        <v>2922</v>
      </c>
      <c r="B1111" s="46" t="s">
        <v>2923</v>
      </c>
      <c r="C1111" s="47">
        <v>6658205551</v>
      </c>
    </row>
    <row r="1112" spans="1:3" x14ac:dyDescent="0.25">
      <c r="A1112" s="46" t="s">
        <v>2924</v>
      </c>
      <c r="B1112" s="46" t="s">
        <v>2925</v>
      </c>
      <c r="C1112" s="47">
        <v>2312218415</v>
      </c>
    </row>
    <row r="1113" spans="1:3" x14ac:dyDescent="0.25">
      <c r="A1113" s="46" t="s">
        <v>937</v>
      </c>
      <c r="B1113" s="46" t="s">
        <v>938</v>
      </c>
      <c r="C1113" s="47">
        <v>7712040126</v>
      </c>
    </row>
    <row r="1114" spans="1:3" x14ac:dyDescent="0.25">
      <c r="A1114" s="46" t="s">
        <v>943</v>
      </c>
      <c r="B1114" s="46" t="s">
        <v>944</v>
      </c>
      <c r="C1114" s="47">
        <v>2901126323</v>
      </c>
    </row>
    <row r="1115" spans="1:3" x14ac:dyDescent="0.25">
      <c r="A1115" s="46" t="s">
        <v>945</v>
      </c>
      <c r="B1115" s="46" t="s">
        <v>946</v>
      </c>
      <c r="C1115" s="47">
        <v>8401008386</v>
      </c>
    </row>
    <row r="1116" spans="1:3" x14ac:dyDescent="0.25">
      <c r="A1116" s="46" t="s">
        <v>947</v>
      </c>
      <c r="B1116" s="46" t="s">
        <v>948</v>
      </c>
      <c r="C1116" s="47">
        <v>9705001313</v>
      </c>
    </row>
    <row r="1117" spans="1:3" x14ac:dyDescent="0.25">
      <c r="A1117" s="46" t="s">
        <v>2926</v>
      </c>
      <c r="B1117" s="46" t="s">
        <v>2927</v>
      </c>
      <c r="C1117" s="47">
        <v>7732107883</v>
      </c>
    </row>
    <row r="1118" spans="1:3" x14ac:dyDescent="0.25">
      <c r="A1118" s="46" t="s">
        <v>953</v>
      </c>
      <c r="B1118" s="46" t="s">
        <v>954</v>
      </c>
      <c r="C1118" s="47">
        <v>7713141247</v>
      </c>
    </row>
    <row r="1119" spans="1:3" x14ac:dyDescent="0.25">
      <c r="A1119" s="46" t="s">
        <v>2928</v>
      </c>
      <c r="B1119" s="46" t="s">
        <v>956</v>
      </c>
      <c r="C1119" s="47">
        <v>7733646084</v>
      </c>
    </row>
    <row r="1120" spans="1:3" x14ac:dyDescent="0.25">
      <c r="A1120" s="46" t="s">
        <v>2929</v>
      </c>
      <c r="B1120" s="46" t="s">
        <v>2930</v>
      </c>
      <c r="C1120" s="47">
        <v>3523011965</v>
      </c>
    </row>
    <row r="1121" spans="1:3" x14ac:dyDescent="0.25">
      <c r="A1121" s="46" t="s">
        <v>957</v>
      </c>
      <c r="B1121" s="46" t="s">
        <v>958</v>
      </c>
      <c r="C1121" s="47">
        <v>5448100656</v>
      </c>
    </row>
    <row r="1122" spans="1:3" x14ac:dyDescent="0.25">
      <c r="A1122" s="46" t="s">
        <v>959</v>
      </c>
      <c r="B1122" s="46" t="s">
        <v>960</v>
      </c>
      <c r="C1122" s="47">
        <v>2901126323</v>
      </c>
    </row>
    <row r="1123" spans="1:3" x14ac:dyDescent="0.25">
      <c r="A1123" s="46" t="s">
        <v>961</v>
      </c>
      <c r="B1123" s="46" t="s">
        <v>962</v>
      </c>
      <c r="C1123" s="47">
        <v>6608003013</v>
      </c>
    </row>
    <row r="1124" spans="1:3" x14ac:dyDescent="0.25">
      <c r="A1124" s="46" t="s">
        <v>963</v>
      </c>
      <c r="B1124" s="46" t="s">
        <v>964</v>
      </c>
      <c r="C1124" s="47">
        <v>2705012263</v>
      </c>
    </row>
    <row r="1125" spans="1:3" x14ac:dyDescent="0.25">
      <c r="A1125" s="46" t="s">
        <v>965</v>
      </c>
      <c r="B1125" s="46" t="s">
        <v>966</v>
      </c>
      <c r="C1125" s="47">
        <v>1645030506</v>
      </c>
    </row>
    <row r="1126" spans="1:3" x14ac:dyDescent="0.25">
      <c r="A1126" s="46" t="s">
        <v>2931</v>
      </c>
      <c r="B1126" s="46" t="s">
        <v>2932</v>
      </c>
      <c r="C1126" s="47">
        <v>7204002873</v>
      </c>
    </row>
    <row r="1127" spans="1:3" x14ac:dyDescent="0.25">
      <c r="A1127" s="46" t="s">
        <v>969</v>
      </c>
      <c r="B1127" s="46" t="s">
        <v>970</v>
      </c>
      <c r="C1127" s="47">
        <v>1435149030</v>
      </c>
    </row>
    <row r="1128" spans="1:3" x14ac:dyDescent="0.25">
      <c r="A1128" s="46" t="s">
        <v>2933</v>
      </c>
      <c r="B1128" s="46" t="s">
        <v>978</v>
      </c>
      <c r="C1128" s="47">
        <v>1650257492</v>
      </c>
    </row>
    <row r="1129" spans="1:3" x14ac:dyDescent="0.25">
      <c r="A1129" s="46" t="s">
        <v>989</v>
      </c>
      <c r="B1129" s="46" t="s">
        <v>2934</v>
      </c>
      <c r="C1129" s="47">
        <v>7736147774</v>
      </c>
    </row>
    <row r="1130" spans="1:3" x14ac:dyDescent="0.25">
      <c r="A1130" s="46" t="s">
        <v>2935</v>
      </c>
      <c r="B1130" s="46" t="s">
        <v>992</v>
      </c>
      <c r="C1130" s="47">
        <v>7718625072</v>
      </c>
    </row>
    <row r="1131" spans="1:3" x14ac:dyDescent="0.25">
      <c r="A1131" s="46" t="s">
        <v>2936</v>
      </c>
      <c r="B1131" s="46" t="s">
        <v>2937</v>
      </c>
      <c r="C1131" s="47">
        <v>1660252983</v>
      </c>
    </row>
    <row r="1132" spans="1:3" x14ac:dyDescent="0.25">
      <c r="A1132" s="46" t="s">
        <v>995</v>
      </c>
      <c r="B1132" s="46" t="s">
        <v>996</v>
      </c>
      <c r="C1132" s="47">
        <v>1658135390</v>
      </c>
    </row>
    <row r="1133" spans="1:3" x14ac:dyDescent="0.25">
      <c r="A1133" s="46" t="s">
        <v>2938</v>
      </c>
      <c r="B1133" s="46" t="s">
        <v>2939</v>
      </c>
      <c r="C1133" s="47">
        <v>6686056870</v>
      </c>
    </row>
    <row r="1134" spans="1:3" x14ac:dyDescent="0.25">
      <c r="A1134" s="46" t="s">
        <v>2940</v>
      </c>
      <c r="B1134" s="46" t="s">
        <v>2941</v>
      </c>
      <c r="C1134" s="47">
        <v>6686056870</v>
      </c>
    </row>
    <row r="1135" spans="1:3" x14ac:dyDescent="0.25">
      <c r="A1135" s="46" t="s">
        <v>1003</v>
      </c>
      <c r="B1135" s="46" t="s">
        <v>2942</v>
      </c>
      <c r="C1135" s="47">
        <v>1650129028</v>
      </c>
    </row>
    <row r="1136" spans="1:3" x14ac:dyDescent="0.25">
      <c r="A1136" s="46" t="s">
        <v>1004</v>
      </c>
      <c r="B1136" s="46" t="s">
        <v>1005</v>
      </c>
      <c r="C1136" s="47">
        <v>1650132334</v>
      </c>
    </row>
    <row r="1137" spans="1:3" x14ac:dyDescent="0.25">
      <c r="A1137" s="46" t="s">
        <v>2943</v>
      </c>
      <c r="B1137" s="46" t="s">
        <v>1007</v>
      </c>
      <c r="C1137" s="47">
        <v>1653001805</v>
      </c>
    </row>
    <row r="1138" spans="1:3" x14ac:dyDescent="0.25">
      <c r="A1138" s="46" t="s">
        <v>2944</v>
      </c>
      <c r="B1138" s="46" t="s">
        <v>2945</v>
      </c>
      <c r="C1138" s="47">
        <v>5405430434</v>
      </c>
    </row>
    <row r="1139" spans="1:3" x14ac:dyDescent="0.25">
      <c r="A1139" s="46" t="s">
        <v>1012</v>
      </c>
      <c r="B1139" s="46" t="s">
        <v>1013</v>
      </c>
      <c r="C1139" s="47">
        <v>1656038345</v>
      </c>
    </row>
    <row r="1140" spans="1:3" x14ac:dyDescent="0.25">
      <c r="A1140" s="46" t="s">
        <v>1014</v>
      </c>
      <c r="B1140" s="46" t="s">
        <v>1015</v>
      </c>
      <c r="C1140" s="47">
        <v>1656119259</v>
      </c>
    </row>
    <row r="1141" spans="1:3" x14ac:dyDescent="0.25">
      <c r="A1141" s="46" t="s">
        <v>2946</v>
      </c>
      <c r="B1141" s="46" t="s">
        <v>2947</v>
      </c>
      <c r="C1141" s="47">
        <v>7116500654</v>
      </c>
    </row>
    <row r="1142" spans="1:3" x14ac:dyDescent="0.25">
      <c r="A1142" s="46" t="s">
        <v>2948</v>
      </c>
      <c r="B1142" s="46" t="s">
        <v>2948</v>
      </c>
      <c r="C1142" s="47">
        <v>165037807496</v>
      </c>
    </row>
    <row r="1143" spans="1:3" x14ac:dyDescent="0.25">
      <c r="A1143" s="46" t="s">
        <v>2949</v>
      </c>
      <c r="B1143" s="46" t="s">
        <v>2950</v>
      </c>
      <c r="C1143" s="47">
        <v>5504043115</v>
      </c>
    </row>
    <row r="1144" spans="1:3" x14ac:dyDescent="0.25">
      <c r="A1144" s="46" t="s">
        <v>1038</v>
      </c>
      <c r="B1144" s="46" t="s">
        <v>1039</v>
      </c>
      <c r="C1144" s="47">
        <v>1650313877</v>
      </c>
    </row>
    <row r="1145" spans="1:3" x14ac:dyDescent="0.25">
      <c r="A1145" s="46" t="s">
        <v>1046</v>
      </c>
      <c r="B1145" s="46" t="s">
        <v>1047</v>
      </c>
      <c r="C1145" s="47">
        <v>7728168971</v>
      </c>
    </row>
    <row r="1146" spans="1:3" x14ac:dyDescent="0.25">
      <c r="A1146" s="46" t="s">
        <v>2951</v>
      </c>
      <c r="B1146" s="46" t="s">
        <v>2952</v>
      </c>
      <c r="C1146" s="47">
        <v>3811132878</v>
      </c>
    </row>
    <row r="1147" spans="1:3" x14ac:dyDescent="0.25">
      <c r="A1147" s="46" t="s">
        <v>2953</v>
      </c>
      <c r="B1147" s="46" t="s">
        <v>2953</v>
      </c>
      <c r="C1147" s="47">
        <v>510480140830</v>
      </c>
    </row>
    <row r="1148" spans="1:3" x14ac:dyDescent="0.25">
      <c r="A1148" s="46" t="s">
        <v>2954</v>
      </c>
      <c r="B1148" s="46" t="s">
        <v>2954</v>
      </c>
      <c r="C1148" s="47">
        <v>510401946204</v>
      </c>
    </row>
    <row r="1149" spans="1:3" x14ac:dyDescent="0.25">
      <c r="A1149" s="46" t="s">
        <v>1073</v>
      </c>
      <c r="B1149" s="46" t="s">
        <v>2955</v>
      </c>
      <c r="C1149" s="47">
        <v>7706786357</v>
      </c>
    </row>
    <row r="1150" spans="1:3" x14ac:dyDescent="0.25">
      <c r="A1150" s="46" t="s">
        <v>2956</v>
      </c>
      <c r="B1150" s="46" t="s">
        <v>1076</v>
      </c>
      <c r="C1150" s="47">
        <v>7716704314</v>
      </c>
    </row>
    <row r="1151" spans="1:3" x14ac:dyDescent="0.25">
      <c r="A1151" s="46" t="s">
        <v>2957</v>
      </c>
      <c r="B1151" s="46" t="s">
        <v>2958</v>
      </c>
      <c r="C1151" s="47">
        <v>1650285500</v>
      </c>
    </row>
    <row r="1152" spans="1:3" x14ac:dyDescent="0.25">
      <c r="A1152" s="46" t="s">
        <v>2959</v>
      </c>
      <c r="B1152" s="46" t="s">
        <v>2960</v>
      </c>
      <c r="C1152" s="47">
        <v>1650298770</v>
      </c>
    </row>
    <row r="1153" spans="1:3" x14ac:dyDescent="0.25">
      <c r="A1153" s="46" t="s">
        <v>1085</v>
      </c>
      <c r="B1153" s="46" t="s">
        <v>1086</v>
      </c>
      <c r="C1153" s="47">
        <v>1657253899</v>
      </c>
    </row>
    <row r="1154" spans="1:3" x14ac:dyDescent="0.25">
      <c r="A1154" s="46" t="s">
        <v>2961</v>
      </c>
      <c r="B1154" s="46" t="s">
        <v>2962</v>
      </c>
      <c r="C1154" s="47">
        <v>7719465600</v>
      </c>
    </row>
    <row r="1155" spans="1:3" x14ac:dyDescent="0.25">
      <c r="A1155" s="46" t="s">
        <v>2963</v>
      </c>
      <c r="B1155" s="46" t="s">
        <v>2964</v>
      </c>
      <c r="C1155" s="47">
        <v>7716845178</v>
      </c>
    </row>
    <row r="1156" spans="1:3" x14ac:dyDescent="0.25">
      <c r="A1156" s="46" t="s">
        <v>2965</v>
      </c>
      <c r="B1156" s="46" t="s">
        <v>2966</v>
      </c>
      <c r="C1156" s="47">
        <v>1658218128</v>
      </c>
    </row>
    <row r="1157" spans="1:3" x14ac:dyDescent="0.25">
      <c r="A1157" s="46" t="s">
        <v>1116</v>
      </c>
      <c r="B1157" s="46" t="s">
        <v>1117</v>
      </c>
      <c r="C1157" s="47">
        <v>7722017180</v>
      </c>
    </row>
    <row r="1158" spans="1:3" x14ac:dyDescent="0.25">
      <c r="A1158" s="46" t="s">
        <v>2967</v>
      </c>
      <c r="B1158" s="46" t="s">
        <v>2968</v>
      </c>
      <c r="C1158" s="47">
        <v>7802838632</v>
      </c>
    </row>
    <row r="1159" spans="1:3" x14ac:dyDescent="0.25">
      <c r="A1159" s="46" t="s">
        <v>2969</v>
      </c>
      <c r="B1159" s="46" t="s">
        <v>2970</v>
      </c>
      <c r="C1159" s="47">
        <v>6317074490</v>
      </c>
    </row>
    <row r="1160" spans="1:3" x14ac:dyDescent="0.25">
      <c r="A1160" s="46" t="s">
        <v>1124</v>
      </c>
      <c r="B1160" s="46" t="s">
        <v>1125</v>
      </c>
      <c r="C1160" s="47">
        <v>6027055657</v>
      </c>
    </row>
    <row r="1161" spans="1:3" x14ac:dyDescent="0.25">
      <c r="A1161" s="46" t="s">
        <v>2971</v>
      </c>
      <c r="B1161" s="46" t="s">
        <v>1141</v>
      </c>
      <c r="C1161" s="47">
        <v>1650172070</v>
      </c>
    </row>
    <row r="1162" spans="1:3" x14ac:dyDescent="0.25">
      <c r="A1162" s="46" t="s">
        <v>1144</v>
      </c>
      <c r="B1162" s="46" t="s">
        <v>1145</v>
      </c>
      <c r="C1162" s="47">
        <v>5001038736</v>
      </c>
    </row>
    <row r="1163" spans="1:3" x14ac:dyDescent="0.25">
      <c r="A1163" s="46" t="s">
        <v>2972</v>
      </c>
      <c r="B1163" s="46" t="s">
        <v>2973</v>
      </c>
      <c r="C1163" s="47">
        <v>1656089928</v>
      </c>
    </row>
    <row r="1164" spans="1:3" x14ac:dyDescent="0.25">
      <c r="A1164" s="46" t="s">
        <v>1154</v>
      </c>
      <c r="B1164" s="46" t="s">
        <v>1153</v>
      </c>
      <c r="C1164" s="47">
        <v>1661060272</v>
      </c>
    </row>
    <row r="1165" spans="1:3" x14ac:dyDescent="0.25">
      <c r="A1165" s="46" t="s">
        <v>1155</v>
      </c>
      <c r="B1165" s="46" t="s">
        <v>1156</v>
      </c>
      <c r="C1165" s="47">
        <v>7810627000</v>
      </c>
    </row>
    <row r="1166" spans="1:3" x14ac:dyDescent="0.25">
      <c r="A1166" s="46" t="s">
        <v>1157</v>
      </c>
      <c r="B1166" s="46" t="s">
        <v>1158</v>
      </c>
      <c r="C1166" s="47">
        <v>165026204922</v>
      </c>
    </row>
    <row r="1167" spans="1:3" x14ac:dyDescent="0.25">
      <c r="A1167" s="46" t="s">
        <v>2974</v>
      </c>
      <c r="B1167" s="46" t="s">
        <v>2975</v>
      </c>
      <c r="C1167" s="47">
        <v>6672328481</v>
      </c>
    </row>
    <row r="1168" spans="1:3" x14ac:dyDescent="0.25">
      <c r="A1168" s="46" t="s">
        <v>1171</v>
      </c>
      <c r="B1168" s="46" t="s">
        <v>1172</v>
      </c>
      <c r="C1168" s="47">
        <v>9709004234</v>
      </c>
    </row>
    <row r="1169" spans="1:3" x14ac:dyDescent="0.25">
      <c r="A1169" s="46" t="s">
        <v>1173</v>
      </c>
      <c r="B1169" s="46" t="s">
        <v>1174</v>
      </c>
      <c r="C1169" s="47">
        <v>1650121276</v>
      </c>
    </row>
    <row r="1170" spans="1:3" x14ac:dyDescent="0.25">
      <c r="A1170" s="46" t="s">
        <v>2976</v>
      </c>
      <c r="B1170" s="46" t="s">
        <v>2977</v>
      </c>
      <c r="C1170" s="47">
        <v>5406976868</v>
      </c>
    </row>
    <row r="1171" spans="1:3" x14ac:dyDescent="0.25">
      <c r="A1171" s="46" t="s">
        <v>2978</v>
      </c>
      <c r="B1171" s="46" t="s">
        <v>2979</v>
      </c>
      <c r="C1171" s="47">
        <v>7453302147</v>
      </c>
    </row>
    <row r="1172" spans="1:3" x14ac:dyDescent="0.25">
      <c r="A1172" s="46" t="s">
        <v>2980</v>
      </c>
      <c r="B1172" s="46" t="s">
        <v>2980</v>
      </c>
      <c r="C1172" s="47">
        <v>510402024481</v>
      </c>
    </row>
    <row r="1173" spans="1:3" x14ac:dyDescent="0.25">
      <c r="A1173" s="46" t="s">
        <v>2981</v>
      </c>
      <c r="B1173" s="46" t="s">
        <v>2981</v>
      </c>
      <c r="C1173" s="47">
        <v>470902470306</v>
      </c>
    </row>
    <row r="1174" spans="1:3" x14ac:dyDescent="0.25">
      <c r="A1174" s="46" t="s">
        <v>2982</v>
      </c>
      <c r="B1174" s="46" t="s">
        <v>2983</v>
      </c>
      <c r="C1174" s="47">
        <v>7116131774</v>
      </c>
    </row>
    <row r="1175" spans="1:3" x14ac:dyDescent="0.25">
      <c r="A1175" s="46" t="s">
        <v>1196</v>
      </c>
      <c r="B1175" s="46" t="s">
        <v>1197</v>
      </c>
      <c r="C1175" s="47">
        <v>163901717907</v>
      </c>
    </row>
    <row r="1176" spans="1:3" x14ac:dyDescent="0.25">
      <c r="A1176" s="46" t="s">
        <v>2984</v>
      </c>
      <c r="B1176" s="46" t="s">
        <v>1199</v>
      </c>
      <c r="C1176" s="47">
        <v>1624446077</v>
      </c>
    </row>
    <row r="1177" spans="1:3" x14ac:dyDescent="0.25">
      <c r="A1177" s="46" t="s">
        <v>1200</v>
      </c>
      <c r="B1177" s="46" t="s">
        <v>1201</v>
      </c>
      <c r="C1177" s="47">
        <v>665900863356</v>
      </c>
    </row>
    <row r="1178" spans="1:3" x14ac:dyDescent="0.25">
      <c r="A1178" s="46" t="s">
        <v>2985</v>
      </c>
      <c r="B1178" s="46" t="s">
        <v>2986</v>
      </c>
      <c r="C1178" s="47">
        <v>7709196405</v>
      </c>
    </row>
    <row r="1179" spans="1:3" x14ac:dyDescent="0.25">
      <c r="A1179" s="46" t="s">
        <v>1204</v>
      </c>
      <c r="B1179" s="46" t="s">
        <v>1205</v>
      </c>
      <c r="C1179" s="47">
        <v>7709196405</v>
      </c>
    </row>
    <row r="1180" spans="1:3" x14ac:dyDescent="0.25">
      <c r="A1180" s="46" t="s">
        <v>2987</v>
      </c>
      <c r="B1180" s="46" t="s">
        <v>2987</v>
      </c>
      <c r="C1180" s="47">
        <v>1650132461</v>
      </c>
    </row>
    <row r="1181" spans="1:3" x14ac:dyDescent="0.25">
      <c r="A1181" s="46" t="s">
        <v>1208</v>
      </c>
      <c r="B1181" s="46" t="s">
        <v>1209</v>
      </c>
      <c r="C1181" s="47">
        <v>7729564914</v>
      </c>
    </row>
    <row r="1182" spans="1:3" x14ac:dyDescent="0.25">
      <c r="A1182" s="46" t="s">
        <v>2988</v>
      </c>
      <c r="B1182" s="46" t="s">
        <v>1234</v>
      </c>
      <c r="C1182" s="47">
        <v>6163009297</v>
      </c>
    </row>
    <row r="1183" spans="1:3" x14ac:dyDescent="0.25">
      <c r="A1183" s="46" t="s">
        <v>2989</v>
      </c>
      <c r="B1183" s="46" t="s">
        <v>1236</v>
      </c>
      <c r="C1183" s="47">
        <v>1660165177</v>
      </c>
    </row>
    <row r="1184" spans="1:3" x14ac:dyDescent="0.25">
      <c r="A1184" s="46" t="s">
        <v>2990</v>
      </c>
      <c r="B1184" s="46" t="s">
        <v>1244</v>
      </c>
      <c r="C1184" s="47">
        <v>9709004234</v>
      </c>
    </row>
    <row r="1185" spans="1:3" x14ac:dyDescent="0.25">
      <c r="A1185" s="46" t="s">
        <v>2991</v>
      </c>
      <c r="B1185" s="46" t="s">
        <v>2992</v>
      </c>
      <c r="C1185" s="47">
        <v>1650309729</v>
      </c>
    </row>
    <row r="1186" spans="1:3" x14ac:dyDescent="0.25">
      <c r="A1186" s="46" t="s">
        <v>2993</v>
      </c>
      <c r="B1186" s="46" t="s">
        <v>2994</v>
      </c>
      <c r="C1186" s="47">
        <v>7842519720</v>
      </c>
    </row>
    <row r="1187" spans="1:3" x14ac:dyDescent="0.25">
      <c r="A1187" s="46" t="s">
        <v>1246</v>
      </c>
      <c r="B1187" s="46" t="s">
        <v>1247</v>
      </c>
      <c r="C1187" s="47">
        <v>5244009279</v>
      </c>
    </row>
    <row r="1188" spans="1:3" x14ac:dyDescent="0.25">
      <c r="A1188" s="46" t="s">
        <v>2995</v>
      </c>
      <c r="B1188" s="46" t="s">
        <v>2996</v>
      </c>
      <c r="C1188" s="47">
        <v>7107110601</v>
      </c>
    </row>
    <row r="1189" spans="1:3" x14ac:dyDescent="0.25">
      <c r="A1189" s="46" t="s">
        <v>2997</v>
      </c>
      <c r="B1189" s="46" t="s">
        <v>2998</v>
      </c>
      <c r="C1189" s="47">
        <v>7107110601</v>
      </c>
    </row>
    <row r="1190" spans="1:3" x14ac:dyDescent="0.25">
      <c r="A1190" s="46" t="s">
        <v>1260</v>
      </c>
      <c r="B1190" s="46" t="s">
        <v>1261</v>
      </c>
      <c r="C1190" s="47">
        <v>326482582</v>
      </c>
    </row>
    <row r="1191" spans="1:3" x14ac:dyDescent="0.25">
      <c r="A1191" s="46" t="s">
        <v>1264</v>
      </c>
      <c r="B1191" s="46" t="s">
        <v>1265</v>
      </c>
      <c r="C1191" s="47">
        <v>7722753969</v>
      </c>
    </row>
    <row r="1192" spans="1:3" x14ac:dyDescent="0.25">
      <c r="A1192" s="46" t="s">
        <v>2999</v>
      </c>
      <c r="B1192" s="46" t="s">
        <v>3000</v>
      </c>
      <c r="C1192" s="47">
        <v>7702070139</v>
      </c>
    </row>
    <row r="1193" spans="1:3" x14ac:dyDescent="0.25">
      <c r="A1193" s="46" t="s">
        <v>1274</v>
      </c>
      <c r="B1193" s="46" t="s">
        <v>1275</v>
      </c>
      <c r="C1193" s="47">
        <v>7713076301</v>
      </c>
    </row>
    <row r="1194" spans="1:3" x14ac:dyDescent="0.25">
      <c r="A1194" s="46" t="s">
        <v>3001</v>
      </c>
      <c r="B1194" s="46" t="s">
        <v>1285</v>
      </c>
      <c r="C1194" s="47">
        <v>1646023910</v>
      </c>
    </row>
    <row r="1195" spans="1:3" x14ac:dyDescent="0.25">
      <c r="A1195" s="46" t="s">
        <v>3002</v>
      </c>
      <c r="B1195" s="46" t="s">
        <v>3003</v>
      </c>
      <c r="C1195" s="47">
        <v>7806516474</v>
      </c>
    </row>
    <row r="1196" spans="1:3" x14ac:dyDescent="0.25">
      <c r="A1196" s="46" t="s">
        <v>3004</v>
      </c>
      <c r="B1196" s="46" t="s">
        <v>3005</v>
      </c>
      <c r="C1196" s="47">
        <v>5906079224</v>
      </c>
    </row>
    <row r="1197" spans="1:3" x14ac:dyDescent="0.25">
      <c r="A1197" s="46" t="s">
        <v>3006</v>
      </c>
      <c r="B1197" s="46" t="s">
        <v>3007</v>
      </c>
      <c r="C1197" s="47">
        <v>7735019219</v>
      </c>
    </row>
    <row r="1198" spans="1:3" x14ac:dyDescent="0.25">
      <c r="A1198" s="46" t="s">
        <v>3008</v>
      </c>
      <c r="B1198" s="46" t="s">
        <v>1328</v>
      </c>
      <c r="C1198" s="47">
        <v>6312023678</v>
      </c>
    </row>
    <row r="1199" spans="1:3" x14ac:dyDescent="0.25">
      <c r="A1199" s="46" t="s">
        <v>1338</v>
      </c>
      <c r="B1199" s="46" t="s">
        <v>3009</v>
      </c>
      <c r="C1199" s="47">
        <v>1660013417</v>
      </c>
    </row>
    <row r="1200" spans="1:3" x14ac:dyDescent="0.25">
      <c r="A1200" s="46" t="s">
        <v>1340</v>
      </c>
      <c r="B1200" s="46" t="s">
        <v>1341</v>
      </c>
      <c r="C1200" s="47">
        <v>1660013417</v>
      </c>
    </row>
    <row r="1201" spans="1:3" x14ac:dyDescent="0.25">
      <c r="A1201" s="46" t="s">
        <v>1343</v>
      </c>
      <c r="B1201" s="46" t="s">
        <v>1344</v>
      </c>
      <c r="C1201" s="47">
        <v>7806155468</v>
      </c>
    </row>
    <row r="1202" spans="1:3" x14ac:dyDescent="0.25">
      <c r="A1202" s="46" t="s">
        <v>3010</v>
      </c>
      <c r="B1202" s="46" t="s">
        <v>3011</v>
      </c>
      <c r="C1202" s="47">
        <v>1655230261</v>
      </c>
    </row>
    <row r="1203" spans="1:3" x14ac:dyDescent="0.25">
      <c r="A1203" s="46" t="s">
        <v>3012</v>
      </c>
      <c r="B1203" s="46" t="s">
        <v>3013</v>
      </c>
      <c r="C1203" s="47">
        <v>5405994159</v>
      </c>
    </row>
    <row r="1204" spans="1:3" x14ac:dyDescent="0.25">
      <c r="A1204" s="46" t="s">
        <v>3014</v>
      </c>
      <c r="B1204" s="46" t="s">
        <v>3014</v>
      </c>
      <c r="C1204" s="47">
        <v>711607080910</v>
      </c>
    </row>
    <row r="1205" spans="1:3" x14ac:dyDescent="0.25">
      <c r="A1205" s="46" t="s">
        <v>1382</v>
      </c>
      <c r="B1205" s="46" t="s">
        <v>1383</v>
      </c>
      <c r="C1205" s="47">
        <v>7826156685</v>
      </c>
    </row>
    <row r="1206" spans="1:3" x14ac:dyDescent="0.25">
      <c r="A1206" s="46" t="s">
        <v>1388</v>
      </c>
      <c r="B1206" s="46" t="s">
        <v>1389</v>
      </c>
      <c r="C1206" s="47">
        <v>5024096727</v>
      </c>
    </row>
    <row r="1207" spans="1:3" x14ac:dyDescent="0.25">
      <c r="A1207" s="46" t="s">
        <v>3015</v>
      </c>
      <c r="B1207" s="46" t="s">
        <v>3015</v>
      </c>
      <c r="C1207" s="47">
        <v>510400122211</v>
      </c>
    </row>
    <row r="1208" spans="1:3" x14ac:dyDescent="0.25">
      <c r="A1208" s="46" t="s">
        <v>3016</v>
      </c>
      <c r="B1208" s="46" t="s">
        <v>3017</v>
      </c>
      <c r="C1208" s="47">
        <v>6662025738</v>
      </c>
    </row>
    <row r="1209" spans="1:3" x14ac:dyDescent="0.25">
      <c r="A1209" s="46" t="s">
        <v>3018</v>
      </c>
      <c r="B1209" s="46" t="s">
        <v>3019</v>
      </c>
      <c r="C1209" s="47">
        <v>2540167061</v>
      </c>
    </row>
    <row r="1210" spans="1:3" x14ac:dyDescent="0.25">
      <c r="A1210" s="46" t="s">
        <v>3020</v>
      </c>
      <c r="B1210" s="46" t="s">
        <v>3021</v>
      </c>
      <c r="C1210" s="47">
        <v>9715307100</v>
      </c>
    </row>
    <row r="1211" spans="1:3" x14ac:dyDescent="0.25">
      <c r="A1211" s="46" t="s">
        <v>3022</v>
      </c>
      <c r="B1211" s="46" t="s">
        <v>3023</v>
      </c>
      <c r="C1211" s="47">
        <v>326038850</v>
      </c>
    </row>
    <row r="1212" spans="1:3" x14ac:dyDescent="0.25">
      <c r="A1212" s="46" t="s">
        <v>1414</v>
      </c>
      <c r="B1212" s="46" t="s">
        <v>1415</v>
      </c>
      <c r="C1212" s="47">
        <v>7713215523</v>
      </c>
    </row>
    <row r="1213" spans="1:3" x14ac:dyDescent="0.25">
      <c r="A1213" s="46" t="s">
        <v>3024</v>
      </c>
      <c r="B1213" s="46" t="s">
        <v>1417</v>
      </c>
      <c r="C1213" s="47">
        <v>7707033437</v>
      </c>
    </row>
    <row r="1214" spans="1:3" x14ac:dyDescent="0.25">
      <c r="A1214" s="46" t="s">
        <v>3025</v>
      </c>
      <c r="B1214" s="46" t="s">
        <v>1423</v>
      </c>
      <c r="C1214" s="47">
        <v>5027214400</v>
      </c>
    </row>
    <row r="1215" spans="1:3" x14ac:dyDescent="0.25">
      <c r="A1215" s="46" t="s">
        <v>3026</v>
      </c>
      <c r="B1215" s="46" t="s">
        <v>3027</v>
      </c>
      <c r="C1215" s="47">
        <v>9705101614</v>
      </c>
    </row>
    <row r="1216" spans="1:3" x14ac:dyDescent="0.25">
      <c r="A1216" s="46" t="s">
        <v>3028</v>
      </c>
      <c r="B1216" s="46" t="s">
        <v>3029</v>
      </c>
      <c r="C1216" s="47">
        <v>7705770795</v>
      </c>
    </row>
    <row r="1217" spans="1:3" x14ac:dyDescent="0.25">
      <c r="A1217" s="46" t="s">
        <v>3030</v>
      </c>
      <c r="B1217" s="46" t="s">
        <v>3031</v>
      </c>
      <c r="C1217" s="47">
        <v>5911066005</v>
      </c>
    </row>
    <row r="1218" spans="1:3" x14ac:dyDescent="0.25">
      <c r="A1218" s="46" t="s">
        <v>3032</v>
      </c>
      <c r="B1218" s="46" t="s">
        <v>3033</v>
      </c>
      <c r="C1218" s="47">
        <v>7710473036</v>
      </c>
    </row>
    <row r="1219" spans="1:3" x14ac:dyDescent="0.25">
      <c r="A1219" s="46" t="s">
        <v>3034</v>
      </c>
      <c r="B1219" s="46" t="s">
        <v>3035</v>
      </c>
      <c r="C1219" s="47">
        <v>7116146467</v>
      </c>
    </row>
    <row r="1220" spans="1:3" x14ac:dyDescent="0.25">
      <c r="A1220" s="46" t="s">
        <v>3036</v>
      </c>
      <c r="B1220" s="46" t="s">
        <v>3037</v>
      </c>
      <c r="C1220" s="47">
        <v>623002854796</v>
      </c>
    </row>
    <row r="1221" spans="1:3" x14ac:dyDescent="0.25">
      <c r="A1221" s="46" t="s">
        <v>1436</v>
      </c>
      <c r="B1221" s="46" t="s">
        <v>1437</v>
      </c>
      <c r="C1221" s="47">
        <v>7714384860</v>
      </c>
    </row>
    <row r="1222" spans="1:3" x14ac:dyDescent="0.25">
      <c r="A1222" s="46" t="s">
        <v>3038</v>
      </c>
      <c r="B1222" s="46" t="s">
        <v>1441</v>
      </c>
      <c r="C1222" s="47"/>
    </row>
    <row r="1223" spans="1:3" x14ac:dyDescent="0.25">
      <c r="A1223" s="46" t="s">
        <v>3039</v>
      </c>
      <c r="B1223" s="46" t="s">
        <v>1443</v>
      </c>
      <c r="C1223" s="47">
        <v>1650299830</v>
      </c>
    </row>
    <row r="1224" spans="1:3" x14ac:dyDescent="0.25">
      <c r="A1224" s="46" t="s">
        <v>3040</v>
      </c>
      <c r="B1224" s="46" t="s">
        <v>3041</v>
      </c>
      <c r="C1224" s="47">
        <v>7801324779</v>
      </c>
    </row>
    <row r="1225" spans="1:3" x14ac:dyDescent="0.25">
      <c r="A1225" s="46" t="s">
        <v>3042</v>
      </c>
      <c r="B1225" s="46" t="s">
        <v>3043</v>
      </c>
      <c r="C1225" s="47">
        <v>165909060896</v>
      </c>
    </row>
    <row r="1226" spans="1:3" x14ac:dyDescent="0.25">
      <c r="A1226" s="46" t="s">
        <v>3044</v>
      </c>
      <c r="B1226" s="46" t="s">
        <v>3045</v>
      </c>
      <c r="C1226" s="47">
        <v>5014011019</v>
      </c>
    </row>
    <row r="1227" spans="1:3" x14ac:dyDescent="0.25">
      <c r="A1227" s="46" t="s">
        <v>3046</v>
      </c>
      <c r="B1227" s="46" t="s">
        <v>3047</v>
      </c>
      <c r="C1227" s="47">
        <v>165036305990</v>
      </c>
    </row>
    <row r="1228" spans="1:3" x14ac:dyDescent="0.25">
      <c r="A1228" s="46" t="s">
        <v>1454</v>
      </c>
      <c r="B1228" s="46" t="s">
        <v>1455</v>
      </c>
      <c r="C1228" s="47">
        <v>1655293416</v>
      </c>
    </row>
    <row r="1229" spans="1:3" x14ac:dyDescent="0.25">
      <c r="A1229" s="46" t="s">
        <v>3048</v>
      </c>
      <c r="B1229" s="46" t="s">
        <v>1457</v>
      </c>
      <c r="C1229" s="47">
        <v>1658200970</v>
      </c>
    </row>
    <row r="1230" spans="1:3" x14ac:dyDescent="0.25">
      <c r="A1230" s="46" t="s">
        <v>3049</v>
      </c>
      <c r="B1230" s="46" t="s">
        <v>3050</v>
      </c>
      <c r="C1230" s="47">
        <v>7705628580</v>
      </c>
    </row>
    <row r="1231" spans="1:3" x14ac:dyDescent="0.25">
      <c r="A1231" s="46" t="s">
        <v>3051</v>
      </c>
      <c r="B1231" s="46" t="s">
        <v>1475</v>
      </c>
      <c r="C1231" s="47">
        <v>1650281216</v>
      </c>
    </row>
    <row r="1232" spans="1:3" x14ac:dyDescent="0.25">
      <c r="A1232" s="46" t="s">
        <v>1476</v>
      </c>
      <c r="B1232" s="46" t="s">
        <v>1476</v>
      </c>
      <c r="C1232" s="47">
        <v>524406278956</v>
      </c>
    </row>
    <row r="1233" spans="1:3" x14ac:dyDescent="0.25">
      <c r="A1233" s="46" t="s">
        <v>3052</v>
      </c>
      <c r="B1233" s="46" t="s">
        <v>3052</v>
      </c>
      <c r="C1233" s="47">
        <v>771120805309</v>
      </c>
    </row>
    <row r="1234" spans="1:3" x14ac:dyDescent="0.25">
      <c r="A1234" s="46" t="s">
        <v>1477</v>
      </c>
      <c r="B1234" s="46" t="s">
        <v>1478</v>
      </c>
      <c r="C1234" s="47">
        <v>165036437429</v>
      </c>
    </row>
    <row r="1235" spans="1:3" x14ac:dyDescent="0.25">
      <c r="A1235" s="46" t="s">
        <v>3053</v>
      </c>
      <c r="B1235" s="46" t="s">
        <v>3053</v>
      </c>
      <c r="C1235" s="47">
        <v>31400027015</v>
      </c>
    </row>
    <row r="1236" spans="1:3" x14ac:dyDescent="0.25">
      <c r="A1236" s="46" t="s">
        <v>3054</v>
      </c>
      <c r="B1236" s="46" t="s">
        <v>3055</v>
      </c>
      <c r="C1236" s="47">
        <v>165041295610</v>
      </c>
    </row>
    <row r="1237" spans="1:3" x14ac:dyDescent="0.25">
      <c r="A1237" s="46" t="s">
        <v>3056</v>
      </c>
      <c r="B1237" s="46" t="s">
        <v>3057</v>
      </c>
      <c r="C1237" s="47">
        <v>5047184183</v>
      </c>
    </row>
    <row r="1238" spans="1:3" x14ac:dyDescent="0.25">
      <c r="A1238" s="46" t="s">
        <v>3058</v>
      </c>
      <c r="B1238" s="46" t="s">
        <v>3059</v>
      </c>
      <c r="C1238" s="47">
        <v>7726295244</v>
      </c>
    </row>
    <row r="1239" spans="1:3" x14ac:dyDescent="0.25">
      <c r="A1239" s="46" t="s">
        <v>3060</v>
      </c>
      <c r="B1239" s="46" t="s">
        <v>3061</v>
      </c>
      <c r="C1239" s="47">
        <v>1660123963</v>
      </c>
    </row>
    <row r="1240" spans="1:3" x14ac:dyDescent="0.25">
      <c r="A1240" s="46" t="s">
        <v>3062</v>
      </c>
      <c r="B1240" s="46" t="s">
        <v>3063</v>
      </c>
      <c r="C1240" s="47">
        <v>5036167316</v>
      </c>
    </row>
    <row r="1241" spans="1:3" x14ac:dyDescent="0.25">
      <c r="A1241" s="46" t="s">
        <v>3064</v>
      </c>
      <c r="B1241" s="46" t="s">
        <v>3065</v>
      </c>
      <c r="C1241" s="47">
        <v>2460110648</v>
      </c>
    </row>
    <row r="1242" spans="1:3" x14ac:dyDescent="0.25">
      <c r="A1242" s="46" t="s">
        <v>3066</v>
      </c>
      <c r="B1242" s="46" t="s">
        <v>1498</v>
      </c>
      <c r="C1242" s="47">
        <v>1650091053</v>
      </c>
    </row>
    <row r="1243" spans="1:3" x14ac:dyDescent="0.25">
      <c r="A1243" s="46" t="s">
        <v>3067</v>
      </c>
      <c r="B1243" s="46" t="s">
        <v>3068</v>
      </c>
      <c r="C1243" s="47">
        <v>7705859041</v>
      </c>
    </row>
    <row r="1244" spans="1:3" x14ac:dyDescent="0.25">
      <c r="A1244" s="46" t="s">
        <v>3069</v>
      </c>
      <c r="B1244" s="46" t="s">
        <v>3070</v>
      </c>
      <c r="C1244" s="47">
        <v>7107121681</v>
      </c>
    </row>
    <row r="1245" spans="1:3" x14ac:dyDescent="0.25">
      <c r="A1245" s="46" t="s">
        <v>3071</v>
      </c>
      <c r="B1245" s="46" t="s">
        <v>3072</v>
      </c>
      <c r="C1245" s="47">
        <v>5433191298</v>
      </c>
    </row>
    <row r="1246" spans="1:3" x14ac:dyDescent="0.25">
      <c r="A1246" s="46" t="s">
        <v>1533</v>
      </c>
      <c r="B1246" s="46" t="s">
        <v>1534</v>
      </c>
      <c r="C1246" s="47">
        <v>1644057865</v>
      </c>
    </row>
    <row r="1247" spans="1:3" x14ac:dyDescent="0.25">
      <c r="A1247" s="46" t="s">
        <v>1535</v>
      </c>
      <c r="B1247" s="46" t="s">
        <v>1536</v>
      </c>
      <c r="C1247" s="47">
        <v>1655296223</v>
      </c>
    </row>
    <row r="1248" spans="1:3" x14ac:dyDescent="0.25">
      <c r="A1248" s="46" t="s">
        <v>1543</v>
      </c>
      <c r="B1248" s="46" t="s">
        <v>1543</v>
      </c>
      <c r="C1248" s="47">
        <v>1654020511</v>
      </c>
    </row>
    <row r="1249" spans="1:3" x14ac:dyDescent="0.25">
      <c r="A1249" s="46" t="s">
        <v>3073</v>
      </c>
      <c r="B1249" s="46" t="s">
        <v>3074</v>
      </c>
      <c r="C1249" s="47">
        <v>1654003114</v>
      </c>
    </row>
    <row r="1250" spans="1:3" x14ac:dyDescent="0.25">
      <c r="A1250" s="46" t="s">
        <v>3075</v>
      </c>
      <c r="B1250" s="46" t="s">
        <v>1548</v>
      </c>
      <c r="C1250" s="47">
        <v>1660246387</v>
      </c>
    </row>
    <row r="1251" spans="1:3" x14ac:dyDescent="0.25">
      <c r="A1251" s="46" t="s">
        <v>3076</v>
      </c>
      <c r="B1251" s="46" t="s">
        <v>3077</v>
      </c>
      <c r="C1251" s="47">
        <v>370241861489</v>
      </c>
    </row>
    <row r="1252" spans="1:3" x14ac:dyDescent="0.25">
      <c r="A1252" s="46" t="s">
        <v>1555</v>
      </c>
      <c r="B1252" s="46" t="s">
        <v>1556</v>
      </c>
      <c r="C1252" s="47">
        <v>165049596049</v>
      </c>
    </row>
    <row r="1253" spans="1:3" x14ac:dyDescent="0.25">
      <c r="A1253" s="46" t="s">
        <v>3078</v>
      </c>
      <c r="B1253" s="46" t="s">
        <v>1558</v>
      </c>
      <c r="C1253" s="47">
        <v>5904007707</v>
      </c>
    </row>
    <row r="1254" spans="1:3" x14ac:dyDescent="0.25">
      <c r="A1254" s="46" t="s">
        <v>1567</v>
      </c>
      <c r="B1254" s="46" t="s">
        <v>1568</v>
      </c>
      <c r="C1254" s="47">
        <v>1650319484</v>
      </c>
    </row>
    <row r="1255" spans="1:3" x14ac:dyDescent="0.25">
      <c r="A1255" s="46" t="s">
        <v>3079</v>
      </c>
      <c r="B1255" s="46" t="s">
        <v>3080</v>
      </c>
      <c r="C1255" s="47">
        <v>7710028420</v>
      </c>
    </row>
    <row r="1256" spans="1:3" x14ac:dyDescent="0.25">
      <c r="A1256" s="46" t="s">
        <v>3081</v>
      </c>
      <c r="B1256" s="46" t="s">
        <v>1572</v>
      </c>
      <c r="C1256" s="47">
        <v>1650328626</v>
      </c>
    </row>
    <row r="1257" spans="1:3" x14ac:dyDescent="0.25">
      <c r="A1257" s="46" t="s">
        <v>1584</v>
      </c>
      <c r="B1257" s="46" t="s">
        <v>1585</v>
      </c>
      <c r="C1257" s="47">
        <v>667329028310</v>
      </c>
    </row>
    <row r="1258" spans="1:3" x14ac:dyDescent="0.25">
      <c r="A1258" s="46" t="s">
        <v>1587</v>
      </c>
      <c r="B1258" s="46" t="s">
        <v>643</v>
      </c>
      <c r="C1258" s="47">
        <v>1650369679</v>
      </c>
    </row>
    <row r="1259" spans="1:3" x14ac:dyDescent="0.25">
      <c r="A1259" s="46" t="s">
        <v>1596</v>
      </c>
      <c r="B1259" s="46" t="s">
        <v>1597</v>
      </c>
      <c r="C1259" s="47">
        <v>5047150353</v>
      </c>
    </row>
    <row r="1260" spans="1:3" x14ac:dyDescent="0.25">
      <c r="A1260" s="46" t="s">
        <v>1598</v>
      </c>
      <c r="B1260" s="46" t="s">
        <v>1599</v>
      </c>
      <c r="C1260" s="47">
        <v>6679113421</v>
      </c>
    </row>
    <row r="1261" spans="1:3" x14ac:dyDescent="0.25">
      <c r="A1261" s="46" t="s">
        <v>1610</v>
      </c>
      <c r="B1261" s="46" t="s">
        <v>1611</v>
      </c>
      <c r="C1261" s="47">
        <v>1650301720</v>
      </c>
    </row>
    <row r="1262" spans="1:3" x14ac:dyDescent="0.25">
      <c r="A1262" s="46" t="s">
        <v>3082</v>
      </c>
      <c r="B1262" s="46" t="s">
        <v>1617</v>
      </c>
      <c r="C1262" s="47">
        <v>2308073661</v>
      </c>
    </row>
    <row r="1263" spans="1:3" x14ac:dyDescent="0.25">
      <c r="A1263" s="46" t="s">
        <v>3083</v>
      </c>
      <c r="B1263" s="46" t="s">
        <v>3084</v>
      </c>
      <c r="C1263" s="47">
        <v>5036164474</v>
      </c>
    </row>
    <row r="1264" spans="1:3" x14ac:dyDescent="0.25">
      <c r="A1264" s="46" t="s">
        <v>3085</v>
      </c>
      <c r="B1264" s="46" t="s">
        <v>3086</v>
      </c>
      <c r="C1264" s="47">
        <v>275918243</v>
      </c>
    </row>
    <row r="1265" spans="1:3" x14ac:dyDescent="0.25">
      <c r="A1265" s="46" t="s">
        <v>1626</v>
      </c>
      <c r="B1265" s="46" t="s">
        <v>1626</v>
      </c>
      <c r="C1265" s="47">
        <v>31465507683</v>
      </c>
    </row>
    <row r="1266" spans="1:3" x14ac:dyDescent="0.25">
      <c r="A1266" s="46" t="s">
        <v>1631</v>
      </c>
      <c r="B1266" s="46" t="s">
        <v>1632</v>
      </c>
      <c r="C1266" s="47">
        <v>1658102028</v>
      </c>
    </row>
    <row r="1267" spans="1:3" x14ac:dyDescent="0.25">
      <c r="A1267" s="46" t="s">
        <v>3087</v>
      </c>
      <c r="B1267" s="46" t="s">
        <v>1634</v>
      </c>
      <c r="C1267" s="47">
        <v>7825333606</v>
      </c>
    </row>
    <row r="1268" spans="1:3" x14ac:dyDescent="0.25">
      <c r="A1268" s="46" t="s">
        <v>3088</v>
      </c>
      <c r="B1268" s="46" t="s">
        <v>1647</v>
      </c>
      <c r="C1268" s="47">
        <v>1660254691</v>
      </c>
    </row>
    <row r="1269" spans="1:3" x14ac:dyDescent="0.25">
      <c r="A1269" s="46" t="s">
        <v>3089</v>
      </c>
      <c r="B1269" s="46" t="s">
        <v>3090</v>
      </c>
      <c r="C1269" s="47">
        <v>7734502871</v>
      </c>
    </row>
    <row r="1270" spans="1:3" x14ac:dyDescent="0.25">
      <c r="A1270" s="46" t="s">
        <v>1663</v>
      </c>
      <c r="B1270" s="46" t="s">
        <v>1664</v>
      </c>
      <c r="C1270" s="47">
        <v>7808043470</v>
      </c>
    </row>
    <row r="1271" spans="1:3" x14ac:dyDescent="0.25">
      <c r="A1271" s="46" t="s">
        <v>3091</v>
      </c>
      <c r="B1271" s="46" t="s">
        <v>3092</v>
      </c>
      <c r="C1271" s="47">
        <v>7721793895</v>
      </c>
    </row>
    <row r="1272" spans="1:3" x14ac:dyDescent="0.25">
      <c r="A1272" s="46" t="s">
        <v>3093</v>
      </c>
      <c r="B1272" s="46" t="s">
        <v>3094</v>
      </c>
      <c r="C1272" s="47">
        <v>7722788055</v>
      </c>
    </row>
    <row r="1273" spans="1:3" x14ac:dyDescent="0.25">
      <c r="A1273" s="46" t="s">
        <v>1671</v>
      </c>
      <c r="B1273" s="46" t="s">
        <v>1672</v>
      </c>
      <c r="C1273" s="47">
        <v>711610888779</v>
      </c>
    </row>
    <row r="1274" spans="1:3" x14ac:dyDescent="0.25">
      <c r="A1274" s="46" t="s">
        <v>1679</v>
      </c>
      <c r="B1274" s="46" t="s">
        <v>1680</v>
      </c>
      <c r="C1274" s="47">
        <v>6663003127</v>
      </c>
    </row>
    <row r="1275" spans="1:3" x14ac:dyDescent="0.25">
      <c r="A1275" s="46" t="s">
        <v>3095</v>
      </c>
      <c r="B1275" s="46" t="s">
        <v>3096</v>
      </c>
      <c r="C1275" s="47">
        <v>7727249963</v>
      </c>
    </row>
    <row r="1276" spans="1:3" x14ac:dyDescent="0.25">
      <c r="A1276" s="46" t="s">
        <v>3097</v>
      </c>
      <c r="B1276" s="46" t="s">
        <v>3098</v>
      </c>
      <c r="C1276" s="47">
        <v>6673230633</v>
      </c>
    </row>
    <row r="1277" spans="1:3" x14ac:dyDescent="0.25">
      <c r="A1277" s="46" t="s">
        <v>3099</v>
      </c>
      <c r="B1277" s="46" t="s">
        <v>3099</v>
      </c>
      <c r="C1277" s="47">
        <v>510400231997</v>
      </c>
    </row>
    <row r="1278" spans="1:3" x14ac:dyDescent="0.25">
      <c r="A1278" s="46" t="s">
        <v>3100</v>
      </c>
      <c r="B1278" s="46" t="s">
        <v>3100</v>
      </c>
      <c r="C1278" s="47">
        <v>711600845021</v>
      </c>
    </row>
    <row r="1279" spans="1:3" x14ac:dyDescent="0.25">
      <c r="A1279" s="46" t="s">
        <v>3101</v>
      </c>
      <c r="B1279" s="46" t="s">
        <v>3102</v>
      </c>
      <c r="C1279" s="47">
        <v>236801567238</v>
      </c>
    </row>
    <row r="1280" spans="1:3" x14ac:dyDescent="0.25">
      <c r="A1280" s="46" t="s">
        <v>3103</v>
      </c>
      <c r="B1280" s="46" t="s">
        <v>3103</v>
      </c>
      <c r="C1280" s="47">
        <v>165506368230</v>
      </c>
    </row>
    <row r="1281" spans="1:3" x14ac:dyDescent="0.25">
      <c r="A1281" s="46" t="s">
        <v>3104</v>
      </c>
      <c r="B1281" s="46" t="s">
        <v>3105</v>
      </c>
      <c r="C1281" s="47">
        <v>6678078622</v>
      </c>
    </row>
    <row r="1282" spans="1:3" x14ac:dyDescent="0.25">
      <c r="A1282" s="46" t="s">
        <v>3106</v>
      </c>
      <c r="B1282" s="46" t="s">
        <v>1694</v>
      </c>
      <c r="C1282" s="47">
        <v>1661051327</v>
      </c>
    </row>
    <row r="1283" spans="1:3" x14ac:dyDescent="0.25">
      <c r="A1283" s="46" t="s">
        <v>3107</v>
      </c>
      <c r="B1283" s="46" t="s">
        <v>1698</v>
      </c>
      <c r="C1283" s="47">
        <v>5837003278</v>
      </c>
    </row>
    <row r="1284" spans="1:3" x14ac:dyDescent="0.25">
      <c r="A1284" s="46" t="s">
        <v>1703</v>
      </c>
      <c r="B1284" s="46" t="s">
        <v>1704</v>
      </c>
      <c r="C1284" s="47">
        <v>2312016641</v>
      </c>
    </row>
    <row r="1285" spans="1:3" x14ac:dyDescent="0.25">
      <c r="A1285" s="46" t="s">
        <v>3108</v>
      </c>
      <c r="B1285" s="46" t="s">
        <v>1706</v>
      </c>
      <c r="C1285" s="47">
        <v>2348037620</v>
      </c>
    </row>
    <row r="1286" spans="1:3" x14ac:dyDescent="0.25">
      <c r="A1286" s="46" t="s">
        <v>3109</v>
      </c>
      <c r="B1286" s="46" t="s">
        <v>1708</v>
      </c>
      <c r="C1286" s="47">
        <v>165000655328</v>
      </c>
    </row>
    <row r="1287" spans="1:3" x14ac:dyDescent="0.25">
      <c r="A1287" s="46" t="s">
        <v>3110</v>
      </c>
      <c r="B1287" s="46" t="s">
        <v>3110</v>
      </c>
      <c r="C1287" s="47">
        <v>711602407908</v>
      </c>
    </row>
    <row r="1288" spans="1:3" x14ac:dyDescent="0.25">
      <c r="A1288" s="46" t="s">
        <v>248</v>
      </c>
      <c r="B1288" s="46" t="s">
        <v>248</v>
      </c>
      <c r="C1288" s="47">
        <v>164601514545</v>
      </c>
    </row>
    <row r="1289" spans="1:3" x14ac:dyDescent="0.25">
      <c r="A1289" s="46" t="s">
        <v>3111</v>
      </c>
      <c r="B1289" s="46" t="s">
        <v>3112</v>
      </c>
      <c r="C1289" s="47">
        <v>7814644293</v>
      </c>
    </row>
    <row r="1290" spans="1:3" x14ac:dyDescent="0.25">
      <c r="A1290" s="46" t="s">
        <v>1718</v>
      </c>
      <c r="B1290" s="46" t="s">
        <v>23</v>
      </c>
      <c r="C1290" s="47">
        <v>1650352964</v>
      </c>
    </row>
    <row r="1291" spans="1:3" x14ac:dyDescent="0.25">
      <c r="A1291" s="46" t="s">
        <v>1719</v>
      </c>
      <c r="B1291" s="46" t="s">
        <v>3113</v>
      </c>
      <c r="C1291" s="47">
        <v>1658099230</v>
      </c>
    </row>
    <row r="1292" spans="1:3" x14ac:dyDescent="0.25">
      <c r="A1292" s="46" t="s">
        <v>3114</v>
      </c>
      <c r="B1292" s="46" t="s">
        <v>3115</v>
      </c>
      <c r="C1292" s="47">
        <v>4025450182</v>
      </c>
    </row>
    <row r="1293" spans="1:3" x14ac:dyDescent="0.25">
      <c r="A1293" s="46" t="s">
        <v>3116</v>
      </c>
      <c r="B1293" s="46" t="s">
        <v>1732</v>
      </c>
      <c r="C1293" s="47">
        <v>5029069967</v>
      </c>
    </row>
    <row r="1294" spans="1:3" x14ac:dyDescent="0.25">
      <c r="A1294" s="46" t="s">
        <v>3117</v>
      </c>
      <c r="B1294" s="46" t="s">
        <v>3118</v>
      </c>
      <c r="C1294" s="47">
        <v>1639026036</v>
      </c>
    </row>
    <row r="1295" spans="1:3" x14ac:dyDescent="0.25">
      <c r="A1295" s="46" t="s">
        <v>1738</v>
      </c>
      <c r="B1295" s="46" t="s">
        <v>1739</v>
      </c>
      <c r="C1295" s="47">
        <v>1656065959</v>
      </c>
    </row>
    <row r="1296" spans="1:3" x14ac:dyDescent="0.25">
      <c r="A1296" s="46" t="s">
        <v>1742</v>
      </c>
      <c r="B1296" s="46" t="s">
        <v>1743</v>
      </c>
      <c r="C1296" s="47">
        <v>183401267882</v>
      </c>
    </row>
    <row r="1297" spans="1:3" x14ac:dyDescent="0.25">
      <c r="A1297" s="46" t="s">
        <v>3119</v>
      </c>
      <c r="B1297" s="46" t="s">
        <v>3119</v>
      </c>
      <c r="C1297" s="47">
        <v>711601448002</v>
      </c>
    </row>
    <row r="1298" spans="1:3" x14ac:dyDescent="0.25">
      <c r="A1298" s="46" t="s">
        <v>3120</v>
      </c>
      <c r="B1298" s="46" t="s">
        <v>1751</v>
      </c>
      <c r="C1298" s="47">
        <v>7705674361</v>
      </c>
    </row>
    <row r="1299" spans="1:3" x14ac:dyDescent="0.25">
      <c r="A1299" s="46" t="s">
        <v>1752</v>
      </c>
      <c r="B1299" s="46" t="s">
        <v>1753</v>
      </c>
      <c r="C1299" s="47">
        <v>1661043157</v>
      </c>
    </row>
    <row r="1300" spans="1:3" x14ac:dyDescent="0.25">
      <c r="A1300" s="46" t="s">
        <v>306</v>
      </c>
      <c r="B1300" s="46" t="s">
        <v>306</v>
      </c>
      <c r="C1300" s="47">
        <v>27721844694</v>
      </c>
    </row>
    <row r="1301" spans="1:3" x14ac:dyDescent="0.25">
      <c r="A1301" s="46" t="s">
        <v>1758</v>
      </c>
      <c r="B1301" s="46" t="s">
        <v>1759</v>
      </c>
      <c r="C1301" s="47">
        <v>7726366135</v>
      </c>
    </row>
    <row r="1302" spans="1:3" x14ac:dyDescent="0.25">
      <c r="A1302" s="46" t="s">
        <v>3121</v>
      </c>
      <c r="B1302" s="46" t="s">
        <v>1761</v>
      </c>
      <c r="C1302" s="47">
        <v>7021000501</v>
      </c>
    </row>
    <row r="1303" spans="1:3" x14ac:dyDescent="0.25">
      <c r="A1303" s="46" t="s">
        <v>1766</v>
      </c>
      <c r="B1303" s="46" t="s">
        <v>1766</v>
      </c>
      <c r="C1303" s="47">
        <v>7810081280</v>
      </c>
    </row>
    <row r="1304" spans="1:3" x14ac:dyDescent="0.25">
      <c r="A1304" s="46" t="s">
        <v>3122</v>
      </c>
      <c r="B1304" s="46" t="s">
        <v>3123</v>
      </c>
      <c r="C1304" s="47">
        <v>1650368308</v>
      </c>
    </row>
    <row r="1305" spans="1:3" x14ac:dyDescent="0.25">
      <c r="A1305" s="46" t="s">
        <v>1773</v>
      </c>
      <c r="B1305" s="46" t="s">
        <v>1774</v>
      </c>
      <c r="C1305" s="47">
        <v>1650306453</v>
      </c>
    </row>
    <row r="1306" spans="1:3" x14ac:dyDescent="0.25">
      <c r="A1306" s="46" t="s">
        <v>1779</v>
      </c>
      <c r="B1306" s="46" t="s">
        <v>1780</v>
      </c>
      <c r="C1306" s="47">
        <v>1650255978</v>
      </c>
    </row>
    <row r="1307" spans="1:3" x14ac:dyDescent="0.25">
      <c r="A1307" s="46" t="s">
        <v>1781</v>
      </c>
      <c r="B1307" s="46" t="s">
        <v>1782</v>
      </c>
      <c r="C1307" s="47">
        <v>1650187816</v>
      </c>
    </row>
    <row r="1308" spans="1:3" x14ac:dyDescent="0.25">
      <c r="A1308" s="46" t="s">
        <v>3124</v>
      </c>
      <c r="B1308" s="46" t="s">
        <v>3124</v>
      </c>
      <c r="C1308" s="47">
        <v>711616387786</v>
      </c>
    </row>
    <row r="1309" spans="1:3" x14ac:dyDescent="0.25">
      <c r="A1309" s="46" t="s">
        <v>3125</v>
      </c>
      <c r="B1309" s="46" t="s">
        <v>3126</v>
      </c>
      <c r="C1309" s="47">
        <v>7448024720</v>
      </c>
    </row>
    <row r="1310" spans="1:3" x14ac:dyDescent="0.25">
      <c r="A1310" s="46" t="s">
        <v>3127</v>
      </c>
      <c r="B1310" s="46" t="s">
        <v>3128</v>
      </c>
      <c r="C1310" s="47">
        <v>5404082738</v>
      </c>
    </row>
    <row r="1311" spans="1:3" x14ac:dyDescent="0.25">
      <c r="A1311" s="46" t="s">
        <v>1797</v>
      </c>
      <c r="B1311" s="46" t="s">
        <v>3129</v>
      </c>
      <c r="C1311" s="47">
        <v>7808022632</v>
      </c>
    </row>
    <row r="1312" spans="1:3" x14ac:dyDescent="0.25">
      <c r="A1312" s="46" t="s">
        <v>1799</v>
      </c>
      <c r="B1312" s="46" t="s">
        <v>1800</v>
      </c>
      <c r="C1312" s="47">
        <v>7719228261</v>
      </c>
    </row>
    <row r="1313" spans="1:3" x14ac:dyDescent="0.25">
      <c r="A1313" s="46" t="s">
        <v>1804</v>
      </c>
      <c r="B1313" s="46" t="s">
        <v>3130</v>
      </c>
      <c r="C1313" s="47">
        <v>165016432574</v>
      </c>
    </row>
    <row r="1314" spans="1:3" x14ac:dyDescent="0.25">
      <c r="A1314" s="46" t="s">
        <v>1808</v>
      </c>
      <c r="B1314" s="46" t="s">
        <v>1809</v>
      </c>
      <c r="C1314" s="47">
        <v>1659196808</v>
      </c>
    </row>
    <row r="1315" spans="1:3" x14ac:dyDescent="0.25">
      <c r="A1315" s="46" t="s">
        <v>3131</v>
      </c>
      <c r="B1315" s="46" t="s">
        <v>3132</v>
      </c>
      <c r="C1315" s="47">
        <v>5405379820</v>
      </c>
    </row>
    <row r="1316" spans="1:3" x14ac:dyDescent="0.25">
      <c r="A1316" s="46" t="s">
        <v>3133</v>
      </c>
      <c r="B1316" s="46" t="s">
        <v>3134</v>
      </c>
      <c r="C1316" s="47">
        <v>6312174204</v>
      </c>
    </row>
    <row r="1317" spans="1:3" x14ac:dyDescent="0.25">
      <c r="A1317" s="46" t="s">
        <v>1827</v>
      </c>
      <c r="B1317" s="46" t="s">
        <v>1828</v>
      </c>
      <c r="C1317" s="47">
        <v>1650187679</v>
      </c>
    </row>
    <row r="1318" spans="1:3" x14ac:dyDescent="0.25">
      <c r="A1318" s="46" t="s">
        <v>3135</v>
      </c>
      <c r="B1318" s="46" t="s">
        <v>3136</v>
      </c>
      <c r="C1318" s="47">
        <v>5408291965</v>
      </c>
    </row>
    <row r="1319" spans="1:3" x14ac:dyDescent="0.25">
      <c r="A1319" s="46" t="s">
        <v>1831</v>
      </c>
      <c r="B1319" s="46" t="s">
        <v>1832</v>
      </c>
      <c r="C1319" s="47">
        <v>165044586544</v>
      </c>
    </row>
    <row r="1320" spans="1:3" x14ac:dyDescent="0.25">
      <c r="A1320" s="46" t="s">
        <v>1844</v>
      </c>
      <c r="B1320" s="46" t="s">
        <v>1845</v>
      </c>
      <c r="C1320" s="47">
        <v>1650153817</v>
      </c>
    </row>
    <row r="1321" spans="1:3" x14ac:dyDescent="0.25">
      <c r="A1321" s="46" t="s">
        <v>3137</v>
      </c>
      <c r="B1321" s="46" t="s">
        <v>3138</v>
      </c>
      <c r="C1321" s="47">
        <v>165919872671</v>
      </c>
    </row>
    <row r="1322" spans="1:3" x14ac:dyDescent="0.25">
      <c r="A1322" s="46" t="s">
        <v>1852</v>
      </c>
      <c r="B1322" s="46" t="s">
        <v>1853</v>
      </c>
      <c r="C1322" s="47">
        <v>1660013417</v>
      </c>
    </row>
    <row r="1323" spans="1:3" x14ac:dyDescent="0.25">
      <c r="A1323" s="46" t="s">
        <v>3139</v>
      </c>
      <c r="B1323" s="46" t="s">
        <v>3140</v>
      </c>
      <c r="C1323" s="47">
        <v>2631029083</v>
      </c>
    </row>
    <row r="1324" spans="1:3" x14ac:dyDescent="0.25">
      <c r="A1324" s="46" t="s">
        <v>3141</v>
      </c>
      <c r="B1324" s="46" t="s">
        <v>3142</v>
      </c>
      <c r="C1324" s="47">
        <v>1604008646</v>
      </c>
    </row>
    <row r="1325" spans="1:3" x14ac:dyDescent="0.25">
      <c r="A1325" s="46" t="s">
        <v>1866</v>
      </c>
      <c r="B1325" s="46" t="s">
        <v>1867</v>
      </c>
      <c r="C1325" s="47">
        <v>6230110400</v>
      </c>
    </row>
    <row r="1326" spans="1:3" x14ac:dyDescent="0.25">
      <c r="A1326" s="46" t="s">
        <v>3143</v>
      </c>
      <c r="B1326" s="46" t="s">
        <v>3144</v>
      </c>
      <c r="C1326" s="47">
        <v>5408023420</v>
      </c>
    </row>
    <row r="1327" spans="1:3" x14ac:dyDescent="0.25">
      <c r="A1327" s="46" t="s">
        <v>3145</v>
      </c>
      <c r="B1327" s="46" t="s">
        <v>1869</v>
      </c>
      <c r="C1327" s="47">
        <v>7811076476</v>
      </c>
    </row>
    <row r="1328" spans="1:3" x14ac:dyDescent="0.25">
      <c r="A1328" s="46" t="s">
        <v>3146</v>
      </c>
      <c r="B1328" s="46" t="s">
        <v>3147</v>
      </c>
      <c r="C1328" s="47">
        <v>781134527129</v>
      </c>
    </row>
    <row r="1329" spans="1:3" x14ac:dyDescent="0.25">
      <c r="A1329" s="46" t="s">
        <v>3148</v>
      </c>
      <c r="B1329" s="46" t="s">
        <v>3149</v>
      </c>
      <c r="C1329" s="47">
        <v>5404491709</v>
      </c>
    </row>
    <row r="1330" spans="1:3" x14ac:dyDescent="0.25">
      <c r="A1330" s="46" t="s">
        <v>3150</v>
      </c>
      <c r="B1330" s="46" t="s">
        <v>3151</v>
      </c>
      <c r="C1330" s="47">
        <v>1656069657</v>
      </c>
    </row>
    <row r="1331" spans="1:3" x14ac:dyDescent="0.25">
      <c r="A1331" s="46" t="s">
        <v>1888</v>
      </c>
      <c r="B1331" s="46" t="s">
        <v>1889</v>
      </c>
      <c r="C1331" s="47">
        <v>6318029972</v>
      </c>
    </row>
    <row r="1332" spans="1:3" x14ac:dyDescent="0.25">
      <c r="A1332" s="46" t="s">
        <v>3152</v>
      </c>
      <c r="B1332" s="46" t="s">
        <v>3153</v>
      </c>
      <c r="C1332" s="47">
        <v>2466250680</v>
      </c>
    </row>
    <row r="1333" spans="1:3" x14ac:dyDescent="0.25">
      <c r="A1333" s="46" t="s">
        <v>3154</v>
      </c>
      <c r="B1333" s="46" t="s">
        <v>3154</v>
      </c>
      <c r="C1333" s="47">
        <v>161602902707</v>
      </c>
    </row>
    <row r="1334" spans="1:3" x14ac:dyDescent="0.25">
      <c r="A1334" s="46" t="s">
        <v>3155</v>
      </c>
      <c r="B1334" s="46" t="s">
        <v>3156</v>
      </c>
      <c r="C1334" s="47">
        <v>7728436821</v>
      </c>
    </row>
    <row r="1335" spans="1:3" x14ac:dyDescent="0.25">
      <c r="A1335" s="46" t="s">
        <v>3157</v>
      </c>
      <c r="B1335" s="46" t="s">
        <v>1897</v>
      </c>
      <c r="C1335" s="47">
        <v>5402026992</v>
      </c>
    </row>
    <row r="1336" spans="1:3" x14ac:dyDescent="0.25">
      <c r="A1336" s="46" t="s">
        <v>3158</v>
      </c>
      <c r="B1336" s="46" t="s">
        <v>3159</v>
      </c>
      <c r="C1336" s="47">
        <v>7706450371</v>
      </c>
    </row>
    <row r="1337" spans="1:3" x14ac:dyDescent="0.25">
      <c r="A1337" s="46" t="s">
        <v>3160</v>
      </c>
      <c r="B1337" s="46" t="s">
        <v>3161</v>
      </c>
      <c r="C1337" s="47">
        <v>7743193235</v>
      </c>
    </row>
    <row r="1338" spans="1:3" x14ac:dyDescent="0.25">
      <c r="A1338" s="46" t="s">
        <v>3162</v>
      </c>
      <c r="B1338" s="46" t="s">
        <v>3163</v>
      </c>
      <c r="C1338" s="47">
        <v>7107032270</v>
      </c>
    </row>
    <row r="1339" spans="1:3" x14ac:dyDescent="0.25">
      <c r="A1339" s="46" t="s">
        <v>3164</v>
      </c>
      <c r="B1339" s="46" t="s">
        <v>3165</v>
      </c>
      <c r="C1339" s="47">
        <v>7451307982</v>
      </c>
    </row>
    <row r="1340" spans="1:3" x14ac:dyDescent="0.25">
      <c r="A1340" s="46" t="s">
        <v>3166</v>
      </c>
      <c r="B1340" s="46" t="s">
        <v>3167</v>
      </c>
      <c r="C1340" s="47">
        <v>1658210231</v>
      </c>
    </row>
    <row r="1341" spans="1:3" x14ac:dyDescent="0.25">
      <c r="A1341" s="46" t="s">
        <v>3168</v>
      </c>
      <c r="B1341" s="46" t="s">
        <v>3169</v>
      </c>
      <c r="C1341" s="47">
        <v>7735092378</v>
      </c>
    </row>
    <row r="1342" spans="1:3" x14ac:dyDescent="0.25">
      <c r="A1342" s="46" t="s">
        <v>1918</v>
      </c>
      <c r="B1342" s="46" t="s">
        <v>1919</v>
      </c>
      <c r="C1342" s="47">
        <v>5263136226</v>
      </c>
    </row>
    <row r="1343" spans="1:3" x14ac:dyDescent="0.25">
      <c r="A1343" s="46" t="s">
        <v>3170</v>
      </c>
      <c r="B1343" s="46" t="s">
        <v>1927</v>
      </c>
      <c r="C1343" s="47">
        <v>7802605331</v>
      </c>
    </row>
    <row r="1344" spans="1:3" x14ac:dyDescent="0.25">
      <c r="A1344" s="46" t="s">
        <v>3171</v>
      </c>
      <c r="B1344" s="46" t="s">
        <v>1927</v>
      </c>
      <c r="C1344" s="47">
        <v>1658192007</v>
      </c>
    </row>
    <row r="1345" spans="1:3" x14ac:dyDescent="0.25">
      <c r="A1345" s="46" t="s">
        <v>3172</v>
      </c>
      <c r="B1345" s="46" t="s">
        <v>3173</v>
      </c>
      <c r="C1345" s="47">
        <v>1650329436</v>
      </c>
    </row>
    <row r="1346" spans="1:3" x14ac:dyDescent="0.25">
      <c r="A1346" s="46" t="s">
        <v>3174</v>
      </c>
      <c r="B1346" s="46" t="s">
        <v>1110</v>
      </c>
      <c r="C1346" s="47">
        <v>7709443037</v>
      </c>
    </row>
    <row r="1347" spans="1:3" x14ac:dyDescent="0.25">
      <c r="A1347" s="46" t="s">
        <v>3175</v>
      </c>
      <c r="B1347" s="46" t="s">
        <v>3176</v>
      </c>
      <c r="C1347" s="47">
        <v>7107085056</v>
      </c>
    </row>
    <row r="1348" spans="1:3" x14ac:dyDescent="0.25">
      <c r="A1348" s="46" t="s">
        <v>3177</v>
      </c>
      <c r="B1348" s="46" t="s">
        <v>3178</v>
      </c>
      <c r="C1348" s="47">
        <v>7106047210</v>
      </c>
    </row>
    <row r="1349" spans="1:3" x14ac:dyDescent="0.25">
      <c r="A1349" s="46" t="s">
        <v>3179</v>
      </c>
      <c r="B1349" s="46" t="s">
        <v>3180</v>
      </c>
      <c r="C1349" s="47">
        <v>711504206819</v>
      </c>
    </row>
    <row r="1350" spans="1:3" x14ac:dyDescent="0.25">
      <c r="A1350" s="46" t="s">
        <v>3181</v>
      </c>
      <c r="B1350" s="46" t="s">
        <v>3181</v>
      </c>
      <c r="C1350" s="47">
        <v>524400036252</v>
      </c>
    </row>
    <row r="1351" spans="1:3" x14ac:dyDescent="0.25">
      <c r="A1351" s="46" t="s">
        <v>3182</v>
      </c>
      <c r="B1351" s="46" t="s">
        <v>3183</v>
      </c>
      <c r="C1351" s="47">
        <v>1650155691</v>
      </c>
    </row>
    <row r="1352" spans="1:3" x14ac:dyDescent="0.25">
      <c r="A1352" s="46" t="s">
        <v>3184</v>
      </c>
      <c r="B1352" s="46" t="s">
        <v>3185</v>
      </c>
      <c r="C1352" s="47">
        <v>5902854761</v>
      </c>
    </row>
    <row r="1353" spans="1:3" x14ac:dyDescent="0.25">
      <c r="A1353" s="46" t="s">
        <v>3186</v>
      </c>
      <c r="B1353" s="46" t="s">
        <v>3187</v>
      </c>
      <c r="C1353" s="47">
        <v>711706479872</v>
      </c>
    </row>
    <row r="1354" spans="1:3" x14ac:dyDescent="0.25">
      <c r="A1354" s="46" t="s">
        <v>3188</v>
      </c>
      <c r="B1354" s="46" t="s">
        <v>1962</v>
      </c>
      <c r="C1354" s="47">
        <v>1650384620</v>
      </c>
    </row>
    <row r="1355" spans="1:3" x14ac:dyDescent="0.25">
      <c r="A1355" s="46" t="s">
        <v>1965</v>
      </c>
      <c r="B1355" s="46" t="s">
        <v>1966</v>
      </c>
      <c r="C1355" s="47">
        <v>1660018020</v>
      </c>
    </row>
    <row r="1356" spans="1:3" x14ac:dyDescent="0.25">
      <c r="A1356" s="46" t="s">
        <v>3189</v>
      </c>
      <c r="B1356" s="46" t="s">
        <v>1970</v>
      </c>
      <c r="C1356" s="47">
        <v>5835060591</v>
      </c>
    </row>
    <row r="1357" spans="1:3" x14ac:dyDescent="0.25">
      <c r="A1357" s="46" t="s">
        <v>3190</v>
      </c>
      <c r="B1357" s="46" t="s">
        <v>1976</v>
      </c>
      <c r="C1357" s="47">
        <v>7814356432</v>
      </c>
    </row>
    <row r="1358" spans="1:3" x14ac:dyDescent="0.25">
      <c r="A1358" s="46" t="s">
        <v>3191</v>
      </c>
      <c r="B1358" s="46" t="s">
        <v>3192</v>
      </c>
      <c r="C1358" s="47">
        <v>7813345237</v>
      </c>
    </row>
    <row r="1359" spans="1:3" x14ac:dyDescent="0.25">
      <c r="A1359" s="46" t="s">
        <v>1993</v>
      </c>
      <c r="B1359" s="46" t="s">
        <v>1994</v>
      </c>
      <c r="C1359" s="47">
        <v>3123323800</v>
      </c>
    </row>
    <row r="1360" spans="1:3" x14ac:dyDescent="0.25">
      <c r="A1360" s="46" t="s">
        <v>3193</v>
      </c>
      <c r="B1360" s="46" t="s">
        <v>3194</v>
      </c>
      <c r="C1360" s="47">
        <v>3232005484</v>
      </c>
    </row>
    <row r="1361" spans="1:3" x14ac:dyDescent="0.25">
      <c r="A1361" s="46" t="s">
        <v>1998</v>
      </c>
      <c r="B1361" s="46" t="s">
        <v>1999</v>
      </c>
      <c r="C1361" s="47">
        <v>7724490000</v>
      </c>
    </row>
    <row r="1362" spans="1:3" x14ac:dyDescent="0.25">
      <c r="A1362" s="46" t="s">
        <v>3195</v>
      </c>
      <c r="B1362" s="46" t="s">
        <v>3196</v>
      </c>
      <c r="C1362" s="47">
        <v>6731046820</v>
      </c>
    </row>
    <row r="1363" spans="1:3" x14ac:dyDescent="0.25">
      <c r="A1363" s="46" t="s">
        <v>3197</v>
      </c>
      <c r="B1363" s="46" t="s">
        <v>3198</v>
      </c>
      <c r="C1363" s="47">
        <v>5905058341</v>
      </c>
    </row>
    <row r="1364" spans="1:3" x14ac:dyDescent="0.25">
      <c r="A1364" s="46" t="s">
        <v>3199</v>
      </c>
      <c r="B1364" s="46" t="s">
        <v>3200</v>
      </c>
      <c r="C1364" s="47">
        <v>1655164509</v>
      </c>
    </row>
    <row r="1365" spans="1:3" x14ac:dyDescent="0.25">
      <c r="A1365" s="46" t="s">
        <v>3201</v>
      </c>
      <c r="B1365" s="46" t="s">
        <v>3202</v>
      </c>
      <c r="C1365" s="47">
        <v>6670220475</v>
      </c>
    </row>
    <row r="1366" spans="1:3" x14ac:dyDescent="0.25">
      <c r="A1366" s="46" t="s">
        <v>3203</v>
      </c>
      <c r="B1366" s="46" t="s">
        <v>2023</v>
      </c>
      <c r="C1366" s="47">
        <v>5408235833</v>
      </c>
    </row>
    <row r="1367" spans="1:3" x14ac:dyDescent="0.25">
      <c r="A1367" s="46" t="s">
        <v>3204</v>
      </c>
      <c r="B1367" s="46" t="s">
        <v>3204</v>
      </c>
      <c r="C1367" s="47">
        <v>7744000912</v>
      </c>
    </row>
    <row r="1368" spans="1:3" x14ac:dyDescent="0.25">
      <c r="A1368" s="46" t="s">
        <v>3205</v>
      </c>
      <c r="B1368" s="46" t="s">
        <v>3206</v>
      </c>
      <c r="C1368" s="47">
        <v>7703425377</v>
      </c>
    </row>
    <row r="1369" spans="1:3" x14ac:dyDescent="0.25">
      <c r="A1369" s="46" t="s">
        <v>2036</v>
      </c>
      <c r="B1369" s="46" t="s">
        <v>2037</v>
      </c>
      <c r="C1369" s="47">
        <v>7451438544</v>
      </c>
    </row>
    <row r="1370" spans="1:3" x14ac:dyDescent="0.25">
      <c r="A1370" s="46" t="s">
        <v>3207</v>
      </c>
      <c r="B1370" s="46" t="s">
        <v>2039</v>
      </c>
      <c r="C1370" s="47">
        <v>7721756614</v>
      </c>
    </row>
    <row r="1371" spans="1:3" x14ac:dyDescent="0.25">
      <c r="A1371" s="46" t="s">
        <v>2040</v>
      </c>
      <c r="B1371" s="46" t="s">
        <v>2041</v>
      </c>
      <c r="C1371" s="47">
        <v>6660149600</v>
      </c>
    </row>
    <row r="1372" spans="1:3" x14ac:dyDescent="0.25">
      <c r="A1372" s="46" t="s">
        <v>3208</v>
      </c>
      <c r="B1372" s="46" t="s">
        <v>2043</v>
      </c>
      <c r="C1372" s="47">
        <v>5753018373</v>
      </c>
    </row>
    <row r="1373" spans="1:3" x14ac:dyDescent="0.25">
      <c r="A1373" s="46" t="s">
        <v>2046</v>
      </c>
      <c r="B1373" s="46" t="s">
        <v>2047</v>
      </c>
      <c r="C1373" s="47">
        <v>257995238</v>
      </c>
    </row>
    <row r="1374" spans="1:3" x14ac:dyDescent="0.25">
      <c r="A1374" s="46" t="s">
        <v>2050</v>
      </c>
      <c r="B1374" s="46" t="s">
        <v>2051</v>
      </c>
      <c r="C1374" s="47">
        <v>1632014592</v>
      </c>
    </row>
    <row r="1375" spans="1:3" x14ac:dyDescent="0.25">
      <c r="A1375" s="46" t="s">
        <v>2052</v>
      </c>
      <c r="B1375" s="46" t="s">
        <v>2052</v>
      </c>
      <c r="C1375" s="47">
        <v>1660018020</v>
      </c>
    </row>
    <row r="1376" spans="1:3" x14ac:dyDescent="0.25">
      <c r="A1376" s="46" t="s">
        <v>2054</v>
      </c>
      <c r="B1376" s="46" t="s">
        <v>2055</v>
      </c>
      <c r="C1376" s="47">
        <v>7721772937</v>
      </c>
    </row>
    <row r="1377" spans="1:3" x14ac:dyDescent="0.25">
      <c r="A1377" s="46" t="s">
        <v>3209</v>
      </c>
      <c r="B1377" s="46" t="s">
        <v>2061</v>
      </c>
      <c r="C1377" s="47">
        <v>7721823853</v>
      </c>
    </row>
    <row r="1378" spans="1:3" x14ac:dyDescent="0.25">
      <c r="A1378" s="46" t="s">
        <v>3210</v>
      </c>
      <c r="B1378" s="46" t="s">
        <v>2069</v>
      </c>
      <c r="C1378" s="47">
        <v>1650118153</v>
      </c>
    </row>
    <row r="1379" spans="1:3" x14ac:dyDescent="0.25">
      <c r="A1379" s="46" t="s">
        <v>3211</v>
      </c>
      <c r="B1379" s="46" t="s">
        <v>2088</v>
      </c>
      <c r="C1379" s="47">
        <v>7728599583</v>
      </c>
    </row>
    <row r="1380" spans="1:3" x14ac:dyDescent="0.25">
      <c r="A1380" s="46" t="s">
        <v>2095</v>
      </c>
      <c r="B1380" s="46" t="s">
        <v>2096</v>
      </c>
      <c r="C1380" s="47">
        <v>7733568767</v>
      </c>
    </row>
    <row r="1381" spans="1:3" x14ac:dyDescent="0.25">
      <c r="A1381" s="46" t="s">
        <v>3212</v>
      </c>
      <c r="B1381" s="46" t="s">
        <v>2100</v>
      </c>
      <c r="C1381" s="47">
        <v>7720772420</v>
      </c>
    </row>
    <row r="1382" spans="1:3" x14ac:dyDescent="0.25">
      <c r="A1382" s="46" t="s">
        <v>2116</v>
      </c>
      <c r="B1382" s="46" t="s">
        <v>2117</v>
      </c>
      <c r="C1382" s="47">
        <v>1660186829</v>
      </c>
    </row>
    <row r="1383" spans="1:3" x14ac:dyDescent="0.25">
      <c r="A1383" s="46" t="s">
        <v>3213</v>
      </c>
      <c r="B1383" s="46" t="s">
        <v>3214</v>
      </c>
      <c r="C1383" s="47">
        <v>7710045520</v>
      </c>
    </row>
    <row r="1384" spans="1:3" x14ac:dyDescent="0.25">
      <c r="A1384" s="46" t="s">
        <v>2126</v>
      </c>
      <c r="B1384" s="46" t="s">
        <v>2127</v>
      </c>
      <c r="C1384" s="47">
        <v>7708503727</v>
      </c>
    </row>
    <row r="1385" spans="1:3" x14ac:dyDescent="0.25">
      <c r="A1385" s="46" t="s">
        <v>3215</v>
      </c>
      <c r="B1385" s="46" t="s">
        <v>2131</v>
      </c>
      <c r="C1385" s="47">
        <v>6234114269</v>
      </c>
    </row>
    <row r="1386" spans="1:3" x14ac:dyDescent="0.25">
      <c r="A1386" s="46" t="s">
        <v>3216</v>
      </c>
      <c r="B1386" s="46" t="s">
        <v>3217</v>
      </c>
      <c r="C1386" s="47">
        <v>7716787254</v>
      </c>
    </row>
    <row r="1387" spans="1:3" x14ac:dyDescent="0.25">
      <c r="A1387" s="46" t="s">
        <v>2138</v>
      </c>
      <c r="B1387" s="46" t="s">
        <v>2139</v>
      </c>
      <c r="C1387" s="47">
        <v>7716218811</v>
      </c>
    </row>
    <row r="1388" spans="1:3" x14ac:dyDescent="0.25">
      <c r="A1388" s="46" t="s">
        <v>2152</v>
      </c>
      <c r="B1388" s="46" t="s">
        <v>2153</v>
      </c>
      <c r="C1388" s="47">
        <v>6659202137</v>
      </c>
    </row>
    <row r="1389" spans="1:3" x14ac:dyDescent="0.25">
      <c r="A1389" s="46" t="s">
        <v>3218</v>
      </c>
      <c r="B1389" s="46" t="s">
        <v>2159</v>
      </c>
      <c r="C1389" s="47">
        <v>9705125020</v>
      </c>
    </row>
    <row r="1390" spans="1:3" x14ac:dyDescent="0.25">
      <c r="A1390" s="46" t="s">
        <v>3219</v>
      </c>
      <c r="B1390" s="46" t="s">
        <v>3220</v>
      </c>
      <c r="C1390" s="47">
        <v>7449104752</v>
      </c>
    </row>
    <row r="1391" spans="1:3" x14ac:dyDescent="0.25">
      <c r="A1391" s="46" t="s">
        <v>2168</v>
      </c>
      <c r="B1391" s="46" t="s">
        <v>2169</v>
      </c>
      <c r="C1391" s="47">
        <v>7801325780</v>
      </c>
    </row>
    <row r="1392" spans="1:3" x14ac:dyDescent="0.25">
      <c r="A1392" s="46" t="s">
        <v>3221</v>
      </c>
      <c r="B1392" s="46" t="s">
        <v>3222</v>
      </c>
      <c r="C1392" s="47">
        <v>7730620715</v>
      </c>
    </row>
    <row r="1393" spans="1:3" x14ac:dyDescent="0.25">
      <c r="A1393" s="46" t="s">
        <v>3223</v>
      </c>
      <c r="B1393" s="46" t="s">
        <v>3224</v>
      </c>
      <c r="C1393" s="47">
        <v>7733765525</v>
      </c>
    </row>
    <row r="1394" spans="1:3" x14ac:dyDescent="0.25">
      <c r="A1394" s="46" t="s">
        <v>2184</v>
      </c>
      <c r="B1394" s="46" t="s">
        <v>2185</v>
      </c>
      <c r="C1394" s="47">
        <v>711601446566</v>
      </c>
    </row>
    <row r="1395" spans="1:3" x14ac:dyDescent="0.25">
      <c r="A1395" s="46" t="s">
        <v>385</v>
      </c>
      <c r="B1395" s="46" t="s">
        <v>385</v>
      </c>
      <c r="C1395" s="47">
        <v>166100861975</v>
      </c>
    </row>
    <row r="1396" spans="1:3" x14ac:dyDescent="0.25">
      <c r="A1396" s="46" t="s">
        <v>2187</v>
      </c>
      <c r="B1396" s="46" t="s">
        <v>3225</v>
      </c>
      <c r="C1396" s="47">
        <v>165001799562</v>
      </c>
    </row>
    <row r="1397" spans="1:3" x14ac:dyDescent="0.25">
      <c r="A1397" s="46" t="s">
        <v>2189</v>
      </c>
      <c r="B1397" s="46" t="s">
        <v>2190</v>
      </c>
      <c r="C1397" s="47">
        <v>165003014058</v>
      </c>
    </row>
    <row r="1398" spans="1:3" x14ac:dyDescent="0.25">
      <c r="A1398" s="46" t="s">
        <v>3226</v>
      </c>
      <c r="B1398" s="46" t="s">
        <v>3227</v>
      </c>
      <c r="C1398" s="47">
        <v>1325003052</v>
      </c>
    </row>
    <row r="1399" spans="1:3" x14ac:dyDescent="0.25">
      <c r="A1399" s="46" t="s">
        <v>3228</v>
      </c>
      <c r="B1399" s="46" t="s">
        <v>3229</v>
      </c>
      <c r="C1399" s="47">
        <v>1327153649</v>
      </c>
    </row>
    <row r="1400" spans="1:3" x14ac:dyDescent="0.25">
      <c r="A1400" s="46" t="s">
        <v>3230</v>
      </c>
      <c r="B1400" s="46" t="s">
        <v>3231</v>
      </c>
      <c r="C1400" s="47">
        <v>7707083893</v>
      </c>
    </row>
    <row r="1401" spans="1:3" x14ac:dyDescent="0.25">
      <c r="A1401" s="46" t="s">
        <v>3232</v>
      </c>
      <c r="B1401" s="46" t="s">
        <v>2217</v>
      </c>
      <c r="C1401" s="47">
        <v>1655404670</v>
      </c>
    </row>
    <row r="1402" spans="1:3" x14ac:dyDescent="0.25">
      <c r="A1402" s="46" t="s">
        <v>2218</v>
      </c>
      <c r="B1402" s="46" t="s">
        <v>2219</v>
      </c>
      <c r="C1402" s="47">
        <v>1658196354</v>
      </c>
    </row>
    <row r="1403" spans="1:3" x14ac:dyDescent="0.25">
      <c r="A1403" s="46" t="s">
        <v>3233</v>
      </c>
      <c r="B1403" s="46" t="s">
        <v>3234</v>
      </c>
      <c r="C1403" s="47">
        <v>1655097700</v>
      </c>
    </row>
    <row r="1404" spans="1:3" x14ac:dyDescent="0.25">
      <c r="A1404" s="46" t="s">
        <v>2228</v>
      </c>
      <c r="B1404" s="46" t="s">
        <v>2229</v>
      </c>
      <c r="C1404" s="47">
        <v>1650351939</v>
      </c>
    </row>
    <row r="1405" spans="1:3" x14ac:dyDescent="0.25">
      <c r="A1405" s="46" t="s">
        <v>3235</v>
      </c>
      <c r="B1405" s="46" t="s">
        <v>3236</v>
      </c>
      <c r="C1405" s="47">
        <v>5190165656</v>
      </c>
    </row>
    <row r="1406" spans="1:3" x14ac:dyDescent="0.25">
      <c r="A1406" s="46" t="s">
        <v>3237</v>
      </c>
      <c r="B1406" s="46" t="s">
        <v>3238</v>
      </c>
      <c r="C1406" s="47">
        <v>5190925522</v>
      </c>
    </row>
    <row r="1407" spans="1:3" x14ac:dyDescent="0.25">
      <c r="A1407" s="46" t="s">
        <v>3239</v>
      </c>
      <c r="B1407" s="46" t="s">
        <v>3240</v>
      </c>
      <c r="C1407" s="47">
        <v>701706332841</v>
      </c>
    </row>
    <row r="1408" spans="1:3" x14ac:dyDescent="0.25">
      <c r="A1408" s="46" t="s">
        <v>3241</v>
      </c>
      <c r="B1408" s="46" t="s">
        <v>3242</v>
      </c>
      <c r="C1408" s="47">
        <v>7734739535</v>
      </c>
    </row>
    <row r="1409" spans="1:3" x14ac:dyDescent="0.25">
      <c r="A1409" s="46" t="s">
        <v>3243</v>
      </c>
      <c r="B1409" s="46" t="s">
        <v>2259</v>
      </c>
      <c r="C1409" s="47">
        <v>3812012750</v>
      </c>
    </row>
    <row r="1410" spans="1:3" x14ac:dyDescent="0.25">
      <c r="A1410" s="46" t="s">
        <v>3244</v>
      </c>
      <c r="B1410" s="46" t="s">
        <v>3245</v>
      </c>
      <c r="C1410" s="47">
        <v>5404080145</v>
      </c>
    </row>
    <row r="1411" spans="1:3" x14ac:dyDescent="0.25">
      <c r="A1411" s="46" t="s">
        <v>2265</v>
      </c>
      <c r="B1411" s="46" t="s">
        <v>2266</v>
      </c>
      <c r="C1411" s="47">
        <v>7725025502</v>
      </c>
    </row>
    <row r="1412" spans="1:3" x14ac:dyDescent="0.25">
      <c r="A1412" s="46" t="s">
        <v>3246</v>
      </c>
      <c r="B1412" s="46" t="s">
        <v>3247</v>
      </c>
      <c r="C1412" s="47">
        <v>7733654906</v>
      </c>
    </row>
    <row r="1413" spans="1:3" x14ac:dyDescent="0.25">
      <c r="A1413" s="46" t="s">
        <v>3248</v>
      </c>
      <c r="B1413" s="46" t="s">
        <v>3249</v>
      </c>
      <c r="C1413" s="47">
        <v>7715866376</v>
      </c>
    </row>
    <row r="1414" spans="1:3" x14ac:dyDescent="0.25">
      <c r="A1414" s="46" t="s">
        <v>2275</v>
      </c>
      <c r="B1414" s="46" t="s">
        <v>2276</v>
      </c>
      <c r="C1414" s="47">
        <v>1650128592</v>
      </c>
    </row>
    <row r="1415" spans="1:3" x14ac:dyDescent="0.25">
      <c r="A1415" s="46" t="s">
        <v>2277</v>
      </c>
      <c r="B1415" s="46" t="s">
        <v>2278</v>
      </c>
      <c r="C1415" s="47">
        <v>7718979307</v>
      </c>
    </row>
    <row r="1416" spans="1:3" x14ac:dyDescent="0.25">
      <c r="A1416" s="46" t="s">
        <v>2279</v>
      </c>
      <c r="B1416" s="46" t="s">
        <v>2280</v>
      </c>
      <c r="C1416" s="47">
        <v>323404970</v>
      </c>
    </row>
    <row r="1417" spans="1:3" x14ac:dyDescent="0.25">
      <c r="A1417" s="46" t="s">
        <v>3250</v>
      </c>
      <c r="B1417" s="46" t="s">
        <v>3251</v>
      </c>
      <c r="C1417" s="47">
        <v>7701725181</v>
      </c>
    </row>
    <row r="1418" spans="1:3" x14ac:dyDescent="0.25">
      <c r="A1418" s="46" t="s">
        <v>3252</v>
      </c>
      <c r="B1418" s="46" t="s">
        <v>3253</v>
      </c>
      <c r="C1418" s="47">
        <v>7721285490</v>
      </c>
    </row>
    <row r="1419" spans="1:3" x14ac:dyDescent="0.25">
      <c r="A1419" s="46" t="s">
        <v>2283</v>
      </c>
      <c r="B1419" s="46" t="s">
        <v>2284</v>
      </c>
      <c r="C1419" s="47">
        <v>165007653190</v>
      </c>
    </row>
    <row r="1420" spans="1:3" x14ac:dyDescent="0.25">
      <c r="A1420" s="46" t="s">
        <v>2285</v>
      </c>
      <c r="B1420" s="46" t="s">
        <v>2286</v>
      </c>
      <c r="C1420" s="47">
        <v>1660258093</v>
      </c>
    </row>
    <row r="1421" spans="1:3" x14ac:dyDescent="0.25">
      <c r="A1421" s="46" t="s">
        <v>2290</v>
      </c>
      <c r="B1421" s="46" t="s">
        <v>2291</v>
      </c>
      <c r="C1421" s="47">
        <v>6670291003</v>
      </c>
    </row>
    <row r="1422" spans="1:3" x14ac:dyDescent="0.25">
      <c r="A1422" s="46" t="s">
        <v>3254</v>
      </c>
      <c r="B1422" s="46" t="s">
        <v>3254</v>
      </c>
      <c r="C1422" s="47">
        <v>711604325739</v>
      </c>
    </row>
    <row r="1423" spans="1:3" x14ac:dyDescent="0.25">
      <c r="A1423" s="46" t="s">
        <v>3255</v>
      </c>
      <c r="B1423" s="46" t="s">
        <v>3256</v>
      </c>
      <c r="C1423" s="47">
        <v>2128052863</v>
      </c>
    </row>
    <row r="1424" spans="1:3" x14ac:dyDescent="0.25">
      <c r="A1424" s="46" t="s">
        <v>3257</v>
      </c>
      <c r="B1424" s="46" t="s">
        <v>3258</v>
      </c>
      <c r="C1424" s="47">
        <v>4401116480</v>
      </c>
    </row>
    <row r="1425" spans="1:3" x14ac:dyDescent="0.25">
      <c r="A1425" s="46" t="s">
        <v>2302</v>
      </c>
      <c r="B1425" s="46" t="s">
        <v>2303</v>
      </c>
      <c r="C1425" s="47">
        <v>7736035485</v>
      </c>
    </row>
    <row r="1426" spans="1:3" x14ac:dyDescent="0.25">
      <c r="A1426" s="46" t="s">
        <v>2312</v>
      </c>
      <c r="B1426" s="46" t="s">
        <v>2313</v>
      </c>
      <c r="C1426" s="47">
        <v>1657012967</v>
      </c>
    </row>
    <row r="1427" spans="1:3" x14ac:dyDescent="0.25">
      <c r="A1427" s="46" t="s">
        <v>2324</v>
      </c>
      <c r="B1427" s="46" t="s">
        <v>2325</v>
      </c>
      <c r="C1427" s="47">
        <v>1650385286</v>
      </c>
    </row>
    <row r="1428" spans="1:3" x14ac:dyDescent="0.25">
      <c r="A1428" s="46" t="s">
        <v>3259</v>
      </c>
      <c r="B1428" s="46" t="s">
        <v>3260</v>
      </c>
      <c r="C1428" s="47">
        <v>5904184417</v>
      </c>
    </row>
    <row r="1429" spans="1:3" x14ac:dyDescent="0.25">
      <c r="A1429" s="46" t="s">
        <v>3261</v>
      </c>
      <c r="B1429" s="46" t="s">
        <v>3261</v>
      </c>
      <c r="C1429" s="47">
        <v>591913962145</v>
      </c>
    </row>
    <row r="1430" spans="1:3" x14ac:dyDescent="0.25">
      <c r="A1430" s="46" t="s">
        <v>3262</v>
      </c>
      <c r="B1430" s="46" t="s">
        <v>3263</v>
      </c>
      <c r="C1430" s="47">
        <v>3123425383</v>
      </c>
    </row>
    <row r="1431" spans="1:3" x14ac:dyDescent="0.25">
      <c r="A1431" s="46" t="s">
        <v>2346</v>
      </c>
      <c r="B1431" s="46" t="s">
        <v>3264</v>
      </c>
      <c r="C1431" s="47">
        <v>165047746034</v>
      </c>
    </row>
    <row r="1432" spans="1:3" x14ac:dyDescent="0.25">
      <c r="A1432" s="46" t="s">
        <v>2348</v>
      </c>
      <c r="B1432" s="46" t="s">
        <v>2349</v>
      </c>
      <c r="C1432" s="47">
        <v>165007726200</v>
      </c>
    </row>
    <row r="1433" spans="1:3" x14ac:dyDescent="0.25">
      <c r="A1433" s="46" t="s">
        <v>2351</v>
      </c>
      <c r="B1433" s="46" t="s">
        <v>2352</v>
      </c>
      <c r="C1433" s="47">
        <v>165035933304</v>
      </c>
    </row>
    <row r="1434" spans="1:3" x14ac:dyDescent="0.25">
      <c r="A1434" s="46" t="s">
        <v>3265</v>
      </c>
      <c r="B1434" s="46" t="s">
        <v>3265</v>
      </c>
      <c r="C1434" s="47">
        <v>343555325238</v>
      </c>
    </row>
    <row r="1435" spans="1:3" x14ac:dyDescent="0.25">
      <c r="A1435" s="46" t="s">
        <v>3266</v>
      </c>
      <c r="B1435" s="46" t="s">
        <v>3267</v>
      </c>
      <c r="C1435" s="47">
        <v>5407223360</v>
      </c>
    </row>
    <row r="1436" spans="1:3" x14ac:dyDescent="0.25">
      <c r="A1436" s="46" t="s">
        <v>2359</v>
      </c>
      <c r="B1436" s="46" t="s">
        <v>2359</v>
      </c>
      <c r="C1436" s="47">
        <v>230301844411</v>
      </c>
    </row>
    <row r="1437" spans="1:3" x14ac:dyDescent="0.25">
      <c r="A1437" s="46" t="s">
        <v>3268</v>
      </c>
      <c r="B1437" s="46" t="s">
        <v>3269</v>
      </c>
      <c r="C1437" s="47">
        <v>3456002698</v>
      </c>
    </row>
    <row r="1438" spans="1:3" x14ac:dyDescent="0.25">
      <c r="A1438" s="46" t="s">
        <v>3270</v>
      </c>
      <c r="B1438" s="46" t="s">
        <v>3271</v>
      </c>
      <c r="C1438" s="47">
        <v>7810214067</v>
      </c>
    </row>
    <row r="1439" spans="1:3" x14ac:dyDescent="0.25">
      <c r="A1439" s="46" t="s">
        <v>2372</v>
      </c>
      <c r="B1439" s="46" t="s">
        <v>3272</v>
      </c>
      <c r="C1439" s="47">
        <v>166107892242</v>
      </c>
    </row>
    <row r="1440" spans="1:3" x14ac:dyDescent="0.25">
      <c r="A1440" s="46" t="s">
        <v>3273</v>
      </c>
      <c r="B1440" s="46" t="s">
        <v>2375</v>
      </c>
      <c r="C1440" s="47">
        <v>1650249759</v>
      </c>
    </row>
    <row r="1441" spans="1:3" x14ac:dyDescent="0.25">
      <c r="A1441" s="46" t="s">
        <v>3274</v>
      </c>
      <c r="B1441" s="46" t="s">
        <v>2377</v>
      </c>
      <c r="C1441" s="47">
        <v>9701080850</v>
      </c>
    </row>
    <row r="1442" spans="1:3" x14ac:dyDescent="0.25">
      <c r="A1442" s="46" t="s">
        <v>2386</v>
      </c>
      <c r="B1442" s="46" t="s">
        <v>2386</v>
      </c>
      <c r="C1442" s="47">
        <v>1681000024</v>
      </c>
    </row>
    <row r="1443" spans="1:3" x14ac:dyDescent="0.25">
      <c r="A1443" s="46" t="s">
        <v>3275</v>
      </c>
      <c r="B1443" s="46" t="s">
        <v>3276</v>
      </c>
      <c r="C1443" s="47">
        <v>7453019186</v>
      </c>
    </row>
    <row r="1444" spans="1:3" x14ac:dyDescent="0.25">
      <c r="A1444" s="46" t="s">
        <v>2416</v>
      </c>
      <c r="B1444" s="46" t="s">
        <v>2417</v>
      </c>
      <c r="C1444" s="47">
        <v>7605016030</v>
      </c>
    </row>
    <row r="1445" spans="1:3" x14ac:dyDescent="0.25">
      <c r="A1445" s="46" t="s">
        <v>3277</v>
      </c>
      <c r="B1445" s="46" t="s">
        <v>2428</v>
      </c>
      <c r="C1445" s="47">
        <v>4025016433</v>
      </c>
    </row>
    <row r="1446" spans="1:3" x14ac:dyDescent="0.25">
      <c r="A1446" s="46" t="s">
        <v>3278</v>
      </c>
      <c r="B1446" s="46" t="s">
        <v>3279</v>
      </c>
      <c r="C1446" s="47">
        <v>7723505528</v>
      </c>
    </row>
    <row r="1447" spans="1:3" x14ac:dyDescent="0.25">
      <c r="A1447" s="46" t="s">
        <v>3280</v>
      </c>
      <c r="B1447" s="46" t="s">
        <v>3281</v>
      </c>
      <c r="C1447" s="47">
        <v>7724152603</v>
      </c>
    </row>
    <row r="1448" spans="1:3" x14ac:dyDescent="0.25">
      <c r="A1448" s="46" t="s">
        <v>3282</v>
      </c>
      <c r="B1448" s="46" t="s">
        <v>3283</v>
      </c>
      <c r="C1448" s="47">
        <v>1658123807</v>
      </c>
    </row>
    <row r="1449" spans="1:3" x14ac:dyDescent="0.25">
      <c r="A1449" s="46" t="s">
        <v>2458</v>
      </c>
      <c r="B1449" s="46" t="s">
        <v>2459</v>
      </c>
      <c r="C1449" s="47">
        <v>7814598978</v>
      </c>
    </row>
    <row r="1450" spans="1:3" x14ac:dyDescent="0.25">
      <c r="A1450" s="46" t="s">
        <v>3284</v>
      </c>
      <c r="B1450" s="46" t="s">
        <v>3285</v>
      </c>
      <c r="C1450" s="47">
        <v>9201525100</v>
      </c>
    </row>
    <row r="1451" spans="1:3" x14ac:dyDescent="0.25">
      <c r="A1451" s="46" t="s">
        <v>2464</v>
      </c>
      <c r="B1451" s="46" t="s">
        <v>2464</v>
      </c>
      <c r="C1451" s="47">
        <v>711600043130</v>
      </c>
    </row>
    <row r="1452" spans="1:3" x14ac:dyDescent="0.25">
      <c r="A1452" s="46" t="s">
        <v>2467</v>
      </c>
      <c r="B1452" s="46" t="s">
        <v>2468</v>
      </c>
      <c r="C1452" s="47">
        <v>7710140679</v>
      </c>
    </row>
    <row r="1453" spans="1:3" x14ac:dyDescent="0.25">
      <c r="A1453" s="46" t="s">
        <v>3286</v>
      </c>
      <c r="B1453" s="46" t="s">
        <v>3287</v>
      </c>
      <c r="C1453" s="47">
        <v>711608693885</v>
      </c>
    </row>
    <row r="1454" spans="1:3" x14ac:dyDescent="0.25">
      <c r="A1454" s="46" t="s">
        <v>3288</v>
      </c>
      <c r="B1454" s="46" t="s">
        <v>3289</v>
      </c>
      <c r="C1454" s="47">
        <v>7717568287</v>
      </c>
    </row>
    <row r="1455" spans="1:3" x14ac:dyDescent="0.25">
      <c r="A1455" s="46" t="s">
        <v>2483</v>
      </c>
      <c r="B1455" s="46" t="s">
        <v>2484</v>
      </c>
      <c r="C1455" s="47">
        <v>1639058285</v>
      </c>
    </row>
    <row r="1456" spans="1:3" x14ac:dyDescent="0.25">
      <c r="A1456" s="46" t="s">
        <v>2485</v>
      </c>
      <c r="B1456" s="46" t="s">
        <v>2485</v>
      </c>
      <c r="C1456" s="47">
        <v>380408085747</v>
      </c>
    </row>
    <row r="1457" spans="1:3" x14ac:dyDescent="0.25">
      <c r="A1457" s="46" t="s">
        <v>2489</v>
      </c>
      <c r="B1457" s="46" t="s">
        <v>2490</v>
      </c>
      <c r="C1457" s="47">
        <v>1650222475</v>
      </c>
    </row>
    <row r="1458" spans="1:3" x14ac:dyDescent="0.25">
      <c r="A1458" s="46" t="s">
        <v>3290</v>
      </c>
      <c r="B1458" s="46" t="s">
        <v>3291</v>
      </c>
      <c r="C1458" s="47">
        <v>5408005710</v>
      </c>
    </row>
    <row r="1459" spans="1:3" x14ac:dyDescent="0.25">
      <c r="A1459" s="46" t="s">
        <v>3292</v>
      </c>
      <c r="B1459" s="46" t="s">
        <v>2494</v>
      </c>
      <c r="C1459" s="47">
        <v>6164116485</v>
      </c>
    </row>
    <row r="1460" spans="1:3" x14ac:dyDescent="0.25">
      <c r="A1460" s="46" t="s">
        <v>3293</v>
      </c>
      <c r="B1460" s="46" t="s">
        <v>3294</v>
      </c>
      <c r="C1460" s="47">
        <v>7730716382</v>
      </c>
    </row>
    <row r="1461" spans="1:3" x14ac:dyDescent="0.25">
      <c r="A1461" s="46" t="s">
        <v>3295</v>
      </c>
      <c r="B1461" s="46" t="s">
        <v>3296</v>
      </c>
      <c r="C1461" s="47">
        <v>1650131524</v>
      </c>
    </row>
    <row r="1462" spans="1:3" x14ac:dyDescent="0.25">
      <c r="A1462" s="46" t="s">
        <v>3297</v>
      </c>
      <c r="B1462" s="46" t="s">
        <v>2509</v>
      </c>
      <c r="C1462" s="47">
        <v>5835112634</v>
      </c>
    </row>
    <row r="1463" spans="1:3" x14ac:dyDescent="0.25">
      <c r="A1463" s="46" t="s">
        <v>3298</v>
      </c>
      <c r="B1463" s="46" t="s">
        <v>3299</v>
      </c>
      <c r="C1463" s="47">
        <v>7816630169</v>
      </c>
    </row>
    <row r="1464" spans="1:3" x14ac:dyDescent="0.25">
      <c r="A1464" s="46" t="s">
        <v>2523</v>
      </c>
      <c r="B1464" s="46" t="s">
        <v>2524</v>
      </c>
      <c r="C1464" s="47">
        <v>7117028603</v>
      </c>
    </row>
    <row r="1465" spans="1:3" x14ac:dyDescent="0.25">
      <c r="A1465" s="46" t="s">
        <v>2525</v>
      </c>
      <c r="B1465" s="46" t="s">
        <v>3300</v>
      </c>
      <c r="C1465" s="47">
        <v>165703838357</v>
      </c>
    </row>
    <row r="1466" spans="1:3" x14ac:dyDescent="0.25">
      <c r="A1466" s="46" t="s">
        <v>3301</v>
      </c>
      <c r="B1466" s="46" t="s">
        <v>3302</v>
      </c>
      <c r="C1466" s="47">
        <v>7404045673</v>
      </c>
    </row>
    <row r="1467" spans="1:3" x14ac:dyDescent="0.25">
      <c r="A1467" s="46" t="s">
        <v>2540</v>
      </c>
      <c r="B1467" s="46" t="s">
        <v>2541</v>
      </c>
      <c r="C1467" s="47">
        <v>1660161486</v>
      </c>
    </row>
    <row r="1468" spans="1:3" x14ac:dyDescent="0.25">
      <c r="A1468" s="46" t="s">
        <v>2542</v>
      </c>
      <c r="B1468" s="46" t="s">
        <v>2543</v>
      </c>
      <c r="C1468" s="47">
        <v>1651064817</v>
      </c>
    </row>
    <row r="1469" spans="1:3" x14ac:dyDescent="0.25">
      <c r="A1469" s="46" t="s">
        <v>2544</v>
      </c>
      <c r="B1469" s="46" t="s">
        <v>2545</v>
      </c>
      <c r="C1469" s="47">
        <v>6660001308</v>
      </c>
    </row>
    <row r="1470" spans="1:3" x14ac:dyDescent="0.25">
      <c r="A1470" s="46" t="s">
        <v>3303</v>
      </c>
      <c r="B1470" s="46" t="s">
        <v>3304</v>
      </c>
      <c r="C1470" s="47">
        <v>274193280</v>
      </c>
    </row>
    <row r="1471" spans="1:3" x14ac:dyDescent="0.25">
      <c r="A1471" s="46" t="s">
        <v>3305</v>
      </c>
      <c r="B1471" s="46" t="s">
        <v>3305</v>
      </c>
      <c r="C1471" s="47">
        <v>3811085917</v>
      </c>
    </row>
    <row r="1472" spans="1:3" x14ac:dyDescent="0.25">
      <c r="A1472" s="46" t="s">
        <v>3306</v>
      </c>
      <c r="B1472" s="46" t="s">
        <v>3306</v>
      </c>
      <c r="C1472" s="47">
        <v>1655088826</v>
      </c>
    </row>
    <row r="1473" spans="1:3" x14ac:dyDescent="0.25">
      <c r="A1473" s="46" t="s">
        <v>2563</v>
      </c>
      <c r="B1473" s="46" t="s">
        <v>2563</v>
      </c>
      <c r="C1473" s="47">
        <v>1654002946</v>
      </c>
    </row>
    <row r="1474" spans="1:3" x14ac:dyDescent="0.25">
      <c r="A1474" s="46" t="s">
        <v>2565</v>
      </c>
      <c r="B1474" s="46" t="s">
        <v>2565</v>
      </c>
      <c r="C1474" s="47">
        <v>1650040002</v>
      </c>
    </row>
    <row r="1475" spans="1:3" x14ac:dyDescent="0.25">
      <c r="A1475" s="46" t="s">
        <v>2570</v>
      </c>
      <c r="B1475" s="46" t="s">
        <v>2570</v>
      </c>
      <c r="C1475" s="47">
        <v>1655005361</v>
      </c>
    </row>
    <row r="1476" spans="1:3" x14ac:dyDescent="0.25">
      <c r="A1476" s="46" t="s">
        <v>3307</v>
      </c>
      <c r="B1476" s="46" t="s">
        <v>3307</v>
      </c>
      <c r="C1476" s="47">
        <v>7021022569</v>
      </c>
    </row>
    <row r="1477" spans="1:3" x14ac:dyDescent="0.25">
      <c r="A1477" s="46" t="s">
        <v>3308</v>
      </c>
      <c r="B1477" s="46" t="s">
        <v>3308</v>
      </c>
      <c r="C1477" s="47">
        <v>7107516785</v>
      </c>
    </row>
    <row r="1478" spans="1:3" x14ac:dyDescent="0.25">
      <c r="A1478" s="46" t="s">
        <v>2578</v>
      </c>
      <c r="B1478" s="46" t="s">
        <v>2578</v>
      </c>
      <c r="C1478" s="47">
        <v>7724490000</v>
      </c>
    </row>
    <row r="1479" spans="1:3" x14ac:dyDescent="0.25">
      <c r="A1479" s="46" t="s">
        <v>3309</v>
      </c>
      <c r="B1479" s="46" t="s">
        <v>3309</v>
      </c>
      <c r="C1479" s="47">
        <v>7724261610</v>
      </c>
    </row>
    <row r="1480" spans="1:3" x14ac:dyDescent="0.25">
      <c r="A1480" s="46" t="s">
        <v>2582</v>
      </c>
      <c r="B1480" s="46" t="s">
        <v>498</v>
      </c>
      <c r="C1480" s="47">
        <v>1650372086</v>
      </c>
    </row>
    <row r="1481" spans="1:3" x14ac:dyDescent="0.25">
      <c r="A1481" s="46" t="s">
        <v>2583</v>
      </c>
      <c r="B1481" s="46" t="s">
        <v>2584</v>
      </c>
      <c r="C1481" s="47">
        <v>6670497540</v>
      </c>
    </row>
    <row r="1482" spans="1:3" x14ac:dyDescent="0.25">
      <c r="A1482" s="46" t="s">
        <v>3310</v>
      </c>
      <c r="B1482" s="46" t="s">
        <v>3311</v>
      </c>
      <c r="C1482" s="47">
        <v>165040394841</v>
      </c>
    </row>
    <row r="1483" spans="1:3" x14ac:dyDescent="0.25">
      <c r="A1483" s="46" t="s">
        <v>3312</v>
      </c>
      <c r="B1483" s="46" t="s">
        <v>3312</v>
      </c>
      <c r="C1483" s="47">
        <v>7724261610</v>
      </c>
    </row>
    <row r="1484" spans="1:3" x14ac:dyDescent="0.25">
      <c r="A1484" s="46" t="s">
        <v>2599</v>
      </c>
      <c r="B1484" s="46" t="s">
        <v>2600</v>
      </c>
      <c r="C1484" s="47">
        <v>7708709686</v>
      </c>
    </row>
    <row r="1485" spans="1:3" x14ac:dyDescent="0.25">
      <c r="A1485" s="46" t="s">
        <v>3313</v>
      </c>
      <c r="B1485" s="46" t="s">
        <v>2602</v>
      </c>
      <c r="C1485" s="47">
        <v>7702332747</v>
      </c>
    </row>
    <row r="1486" spans="1:3" x14ac:dyDescent="0.25">
      <c r="A1486" s="46" t="s">
        <v>3314</v>
      </c>
      <c r="B1486" s="46" t="s">
        <v>3315</v>
      </c>
      <c r="C1486" s="47">
        <v>7729407630</v>
      </c>
    </row>
    <row r="1487" spans="1:3" x14ac:dyDescent="0.25">
      <c r="A1487" s="46" t="s">
        <v>2609</v>
      </c>
      <c r="B1487" s="46" t="s">
        <v>2609</v>
      </c>
      <c r="C1487" s="47">
        <v>7744001497</v>
      </c>
    </row>
    <row r="1488" spans="1:3" x14ac:dyDescent="0.25">
      <c r="A1488" s="46" t="s">
        <v>3316</v>
      </c>
      <c r="B1488" s="46" t="s">
        <v>3317</v>
      </c>
      <c r="C1488" s="47">
        <v>7728560561</v>
      </c>
    </row>
    <row r="1489" spans="1:3" x14ac:dyDescent="0.25">
      <c r="A1489" s="46" t="s">
        <v>2618</v>
      </c>
      <c r="B1489" s="46" t="s">
        <v>2619</v>
      </c>
      <c r="C1489" s="47">
        <v>1655003950</v>
      </c>
    </row>
    <row r="1490" spans="1:3" x14ac:dyDescent="0.25">
      <c r="A1490" s="46" t="s">
        <v>3318</v>
      </c>
      <c r="B1490" s="46" t="s">
        <v>3319</v>
      </c>
      <c r="C1490" s="47">
        <v>7107135324</v>
      </c>
    </row>
    <row r="1491" spans="1:3" x14ac:dyDescent="0.25">
      <c r="A1491" s="46" t="s">
        <v>3320</v>
      </c>
      <c r="B1491" s="46" t="s">
        <v>3321</v>
      </c>
      <c r="C1491" s="47">
        <v>165044998202</v>
      </c>
    </row>
    <row r="1492" spans="1:3" x14ac:dyDescent="0.25">
      <c r="A1492" s="46" t="s">
        <v>3322</v>
      </c>
      <c r="B1492" s="46" t="s">
        <v>3323</v>
      </c>
      <c r="C1492" s="47">
        <v>165033418795</v>
      </c>
    </row>
    <row r="1493" spans="1:3" x14ac:dyDescent="0.25">
      <c r="A1493" s="46" t="s">
        <v>3324</v>
      </c>
      <c r="B1493" s="46" t="s">
        <v>3324</v>
      </c>
      <c r="C1493" s="47">
        <v>7710050305</v>
      </c>
    </row>
    <row r="1494" spans="1:3" x14ac:dyDescent="0.25">
      <c r="A1494" s="46" t="s">
        <v>3325</v>
      </c>
      <c r="B1494" s="46" t="s">
        <v>3326</v>
      </c>
      <c r="C1494" s="47">
        <v>6658388288</v>
      </c>
    </row>
    <row r="1495" spans="1:3" x14ac:dyDescent="0.25">
      <c r="A1495" s="46" t="s">
        <v>629</v>
      </c>
      <c r="B1495" s="46" t="s">
        <v>629</v>
      </c>
      <c r="C1495" s="47">
        <v>164606647450</v>
      </c>
    </row>
    <row r="1496" spans="1:3" x14ac:dyDescent="0.25">
      <c r="A1496" s="46" t="s">
        <v>2662</v>
      </c>
      <c r="B1496" s="46" t="s">
        <v>2663</v>
      </c>
      <c r="C1496" s="47">
        <v>165056752500</v>
      </c>
    </row>
    <row r="1497" spans="1:3" x14ac:dyDescent="0.25">
      <c r="A1497" s="46" t="s">
        <v>3327</v>
      </c>
      <c r="B1497" s="46" t="s">
        <v>3327</v>
      </c>
      <c r="C1497" s="47">
        <v>510400886930</v>
      </c>
    </row>
    <row r="1498" spans="1:3" x14ac:dyDescent="0.25">
      <c r="A1498" s="46" t="s">
        <v>3328</v>
      </c>
      <c r="B1498" s="46" t="s">
        <v>3329</v>
      </c>
      <c r="C1498" s="47">
        <v>5029242996</v>
      </c>
    </row>
    <row r="1499" spans="1:3" x14ac:dyDescent="0.25">
      <c r="A1499" s="46" t="s">
        <v>2679</v>
      </c>
      <c r="B1499" s="46" t="s">
        <v>2680</v>
      </c>
      <c r="C1499" s="47">
        <v>1657227867</v>
      </c>
    </row>
    <row r="1500" spans="1:3" x14ac:dyDescent="0.25">
      <c r="A1500" s="46" t="s">
        <v>3330</v>
      </c>
      <c r="B1500" s="46" t="s">
        <v>3331</v>
      </c>
      <c r="C1500" s="47">
        <v>1650337927</v>
      </c>
    </row>
    <row r="1501" spans="1:3" x14ac:dyDescent="0.25">
      <c r="A1501" s="46" t="s">
        <v>2683</v>
      </c>
      <c r="B1501" s="46" t="s">
        <v>2684</v>
      </c>
      <c r="C1501" s="47">
        <v>1660199088</v>
      </c>
    </row>
    <row r="1502" spans="1:3" x14ac:dyDescent="0.25">
      <c r="A1502" s="46" t="s">
        <v>3332</v>
      </c>
      <c r="B1502" s="46" t="s">
        <v>3333</v>
      </c>
      <c r="C1502" s="47">
        <v>1650311220</v>
      </c>
    </row>
    <row r="1503" spans="1:3" x14ac:dyDescent="0.25">
      <c r="A1503" s="46" t="s">
        <v>2685</v>
      </c>
      <c r="B1503" s="46" t="s">
        <v>2686</v>
      </c>
      <c r="C1503" s="47">
        <v>1654007920</v>
      </c>
    </row>
    <row r="1504" spans="1:3" x14ac:dyDescent="0.25">
      <c r="A1504" s="46" t="s">
        <v>3334</v>
      </c>
      <c r="B1504" s="46" t="s">
        <v>3335</v>
      </c>
      <c r="C1504" s="47">
        <v>9709007034</v>
      </c>
    </row>
    <row r="1505" spans="1:3" x14ac:dyDescent="0.25">
      <c r="A1505" s="46" t="s">
        <v>3336</v>
      </c>
      <c r="B1505" s="46" t="s">
        <v>3337</v>
      </c>
      <c r="C1505" s="47">
        <v>7716802939</v>
      </c>
    </row>
    <row r="1506" spans="1:3" x14ac:dyDescent="0.25">
      <c r="A1506" s="46" t="s">
        <v>3338</v>
      </c>
      <c r="B1506" s="46" t="s">
        <v>3339</v>
      </c>
      <c r="C1506" s="47">
        <v>2128000600</v>
      </c>
    </row>
    <row r="1507" spans="1:3" x14ac:dyDescent="0.25">
      <c r="A1507" s="46" t="s">
        <v>2693</v>
      </c>
      <c r="B1507" s="46" t="s">
        <v>2693</v>
      </c>
      <c r="C1507" s="47">
        <v>510402299616</v>
      </c>
    </row>
    <row r="1508" spans="1:3" x14ac:dyDescent="0.25">
      <c r="A1508" s="46" t="s">
        <v>3340</v>
      </c>
      <c r="B1508" s="46" t="s">
        <v>2695</v>
      </c>
      <c r="C1508" s="47">
        <v>7729108750</v>
      </c>
    </row>
    <row r="1509" spans="1:3" x14ac:dyDescent="0.25">
      <c r="A1509" s="46" t="s">
        <v>3341</v>
      </c>
      <c r="B1509" s="46" t="s">
        <v>3342</v>
      </c>
      <c r="C1509" s="47">
        <v>780247090350</v>
      </c>
    </row>
    <row r="1510" spans="1:3" x14ac:dyDescent="0.25">
      <c r="A1510" s="46" t="s">
        <v>3343</v>
      </c>
      <c r="B1510" s="46" t="s">
        <v>3344</v>
      </c>
      <c r="C1510" s="47">
        <v>2127011695</v>
      </c>
    </row>
    <row r="1511" spans="1:3" x14ac:dyDescent="0.25">
      <c r="A1511" s="46" t="s">
        <v>3345</v>
      </c>
      <c r="B1511" s="46" t="s">
        <v>3346</v>
      </c>
      <c r="C1511" s="47">
        <v>165700854375</v>
      </c>
    </row>
    <row r="1512" spans="1:3" x14ac:dyDescent="0.25">
      <c r="A1512" s="46" t="s">
        <v>2704</v>
      </c>
      <c r="B1512" s="46" t="s">
        <v>2705</v>
      </c>
      <c r="C1512" s="47">
        <v>165201418302</v>
      </c>
    </row>
    <row r="1513" spans="1:3" x14ac:dyDescent="0.25">
      <c r="A1513" s="46" t="s">
        <v>2711</v>
      </c>
      <c r="B1513" s="46" t="s">
        <v>2712</v>
      </c>
      <c r="C1513" s="47">
        <v>165124231650</v>
      </c>
    </row>
    <row r="1514" spans="1:3" x14ac:dyDescent="0.25">
      <c r="A1514" s="46" t="s">
        <v>2716</v>
      </c>
      <c r="B1514" s="46" t="s">
        <v>2717</v>
      </c>
      <c r="C1514" s="47">
        <v>1657201026</v>
      </c>
    </row>
    <row r="1515" spans="1:3" x14ac:dyDescent="0.25">
      <c r="A1515" s="46" t="s">
        <v>651</v>
      </c>
      <c r="B1515" s="46" t="s">
        <v>651</v>
      </c>
      <c r="C1515" s="47">
        <v>165017138744</v>
      </c>
    </row>
    <row r="1516" spans="1:3" x14ac:dyDescent="0.25">
      <c r="A1516" s="46" t="s">
        <v>2727</v>
      </c>
      <c r="B1516" s="46" t="s">
        <v>2727</v>
      </c>
      <c r="C1516" s="47">
        <v>524404310033</v>
      </c>
    </row>
    <row r="1517" spans="1:3" x14ac:dyDescent="0.25">
      <c r="A1517" s="46" t="s">
        <v>2737</v>
      </c>
      <c r="B1517" s="46" t="s">
        <v>2738</v>
      </c>
      <c r="C1517" s="47">
        <v>1659189374</v>
      </c>
    </row>
    <row r="1518" spans="1:3" x14ac:dyDescent="0.25">
      <c r="A1518" s="46" t="s">
        <v>3347</v>
      </c>
      <c r="B1518" s="46" t="s">
        <v>3348</v>
      </c>
      <c r="C1518" s="47">
        <v>1658176100</v>
      </c>
    </row>
    <row r="1519" spans="1:3" x14ac:dyDescent="0.25">
      <c r="A1519" s="46" t="s">
        <v>3349</v>
      </c>
      <c r="B1519" s="46" t="s">
        <v>3350</v>
      </c>
      <c r="C1519" s="47">
        <v>6686098460</v>
      </c>
    </row>
    <row r="1520" spans="1:3" x14ac:dyDescent="0.25">
      <c r="A1520" s="46" t="s">
        <v>3351</v>
      </c>
      <c r="B1520" s="46" t="s">
        <v>3352</v>
      </c>
      <c r="C1520" s="47">
        <v>5911061818</v>
      </c>
    </row>
    <row r="1521" spans="1:3" x14ac:dyDescent="0.25">
      <c r="A1521" s="46" t="s">
        <v>2753</v>
      </c>
      <c r="B1521" s="46" t="s">
        <v>2754</v>
      </c>
      <c r="C1521" s="47">
        <v>5260255472</v>
      </c>
    </row>
    <row r="1522" spans="1:3" x14ac:dyDescent="0.25">
      <c r="A1522" s="46" t="s">
        <v>3353</v>
      </c>
      <c r="B1522" s="46" t="s">
        <v>3354</v>
      </c>
      <c r="C1522" s="47">
        <v>7701928086</v>
      </c>
    </row>
    <row r="1523" spans="1:3" x14ac:dyDescent="0.25">
      <c r="A1523" s="46" t="s">
        <v>2757</v>
      </c>
      <c r="B1523" s="46" t="s">
        <v>2758</v>
      </c>
      <c r="C1523" s="47">
        <v>1660138078</v>
      </c>
    </row>
    <row r="1524" spans="1:3" x14ac:dyDescent="0.25">
      <c r="A1524" s="46" t="s">
        <v>3355</v>
      </c>
      <c r="B1524" s="46" t="s">
        <v>3356</v>
      </c>
      <c r="C1524" s="47">
        <v>5047207747</v>
      </c>
    </row>
    <row r="1525" spans="1:3" x14ac:dyDescent="0.25">
      <c r="A1525" s="46" t="s">
        <v>2759</v>
      </c>
      <c r="B1525" s="46" t="s">
        <v>2760</v>
      </c>
      <c r="C1525" s="47">
        <v>1659003580</v>
      </c>
    </row>
    <row r="1526" spans="1:3" x14ac:dyDescent="0.25">
      <c r="A1526" s="46" t="s">
        <v>3357</v>
      </c>
      <c r="B1526" s="46" t="s">
        <v>2770</v>
      </c>
      <c r="C1526" s="47">
        <v>3664016846</v>
      </c>
    </row>
    <row r="1527" spans="1:3" x14ac:dyDescent="0.25">
      <c r="A1527" s="46" t="s">
        <v>3358</v>
      </c>
      <c r="B1527" s="46" t="s">
        <v>2772</v>
      </c>
      <c r="C1527" s="47">
        <v>7703668940</v>
      </c>
    </row>
    <row r="1528" spans="1:3" x14ac:dyDescent="0.25">
      <c r="A1528" s="46" t="s">
        <v>2773</v>
      </c>
      <c r="B1528" s="46" t="s">
        <v>2774</v>
      </c>
      <c r="C1528" s="47">
        <v>7729633131</v>
      </c>
    </row>
    <row r="1529" spans="1:3" x14ac:dyDescent="0.25">
      <c r="A1529" s="46" t="s">
        <v>3359</v>
      </c>
      <c r="B1529" s="46" t="s">
        <v>2786</v>
      </c>
      <c r="C1529" s="47">
        <v>6685085290</v>
      </c>
    </row>
    <row r="1530" spans="1:3" x14ac:dyDescent="0.25">
      <c r="A1530" s="46" t="s">
        <v>3360</v>
      </c>
      <c r="B1530" s="46" t="s">
        <v>2788</v>
      </c>
      <c r="C1530" s="47">
        <v>7723738018</v>
      </c>
    </row>
    <row r="1531" spans="1:3" x14ac:dyDescent="0.25">
      <c r="A1531" s="46" t="s">
        <v>3361</v>
      </c>
      <c r="B1531" s="46" t="s">
        <v>2790</v>
      </c>
      <c r="C1531" s="47">
        <v>1650288589</v>
      </c>
    </row>
    <row r="1532" spans="1:3" x14ac:dyDescent="0.25">
      <c r="A1532" s="46" t="s">
        <v>2795</v>
      </c>
      <c r="B1532" s="46" t="s">
        <v>2794</v>
      </c>
      <c r="C1532" s="47">
        <v>7804526950</v>
      </c>
    </row>
    <row r="1533" spans="1:3" x14ac:dyDescent="0.25">
      <c r="A1533" s="46" t="s">
        <v>3362</v>
      </c>
      <c r="B1533" s="46" t="s">
        <v>3363</v>
      </c>
      <c r="C1533" s="47">
        <v>7810783070</v>
      </c>
    </row>
    <row r="1534" spans="1:3" x14ac:dyDescent="0.25">
      <c r="A1534" s="46" t="s">
        <v>3364</v>
      </c>
      <c r="B1534" s="46" t="s">
        <v>1895</v>
      </c>
      <c r="C1534" s="47">
        <v>7722108912</v>
      </c>
    </row>
    <row r="1535" spans="1:3" x14ac:dyDescent="0.25">
      <c r="A1535" s="46" t="s">
        <v>2800</v>
      </c>
      <c r="B1535" s="46" t="s">
        <v>2801</v>
      </c>
      <c r="C1535" s="47">
        <v>277124006</v>
      </c>
    </row>
    <row r="1536" spans="1:3" x14ac:dyDescent="0.25">
      <c r="A1536" s="46" t="s">
        <v>3365</v>
      </c>
      <c r="B1536" s="46" t="s">
        <v>3366</v>
      </c>
      <c r="C1536" s="47">
        <v>7100001586</v>
      </c>
    </row>
    <row r="1537" spans="1:3" x14ac:dyDescent="0.25">
      <c r="A1537" s="46" t="s">
        <v>3367</v>
      </c>
      <c r="B1537" s="46" t="s">
        <v>3368</v>
      </c>
      <c r="C1537" s="47">
        <v>5403102702</v>
      </c>
    </row>
    <row r="1538" spans="1:3" x14ac:dyDescent="0.25">
      <c r="A1538" s="46" t="s">
        <v>2812</v>
      </c>
      <c r="B1538" s="46" t="s">
        <v>2813</v>
      </c>
      <c r="C1538" s="47">
        <v>277078416</v>
      </c>
    </row>
    <row r="1539" spans="1:3" x14ac:dyDescent="0.25">
      <c r="A1539" s="46" t="s">
        <v>2827</v>
      </c>
      <c r="B1539" s="46" t="s">
        <v>2828</v>
      </c>
      <c r="C1539" s="47">
        <v>7728208889</v>
      </c>
    </row>
    <row r="1540" spans="1:3" x14ac:dyDescent="0.25">
      <c r="A1540" s="46" t="s">
        <v>3369</v>
      </c>
      <c r="B1540" s="46" t="s">
        <v>3370</v>
      </c>
      <c r="C1540" s="47">
        <v>7718245754</v>
      </c>
    </row>
    <row r="1541" spans="1:3" x14ac:dyDescent="0.25">
      <c r="A1541" s="46" t="s">
        <v>3371</v>
      </c>
      <c r="B1541" s="46" t="s">
        <v>3372</v>
      </c>
      <c r="C1541" s="47">
        <v>1659113103</v>
      </c>
    </row>
    <row r="1542" spans="1:3" x14ac:dyDescent="0.25">
      <c r="A1542" s="46" t="s">
        <v>3373</v>
      </c>
      <c r="B1542" s="46" t="s">
        <v>2838</v>
      </c>
      <c r="C1542" s="47">
        <v>1659060451</v>
      </c>
    </row>
    <row r="1543" spans="1:3" x14ac:dyDescent="0.25">
      <c r="A1543" s="46" t="s">
        <v>3374</v>
      </c>
      <c r="B1543" s="46" t="s">
        <v>3375</v>
      </c>
      <c r="C1543" s="47">
        <v>6679028198</v>
      </c>
    </row>
    <row r="1544" spans="1:3" x14ac:dyDescent="0.25">
      <c r="A1544" s="46" t="s">
        <v>3376</v>
      </c>
      <c r="B1544" s="46" t="s">
        <v>3377</v>
      </c>
      <c r="C1544" s="47">
        <v>273904397</v>
      </c>
    </row>
    <row r="1545" spans="1:3" x14ac:dyDescent="0.25">
      <c r="A1545" s="46" t="s">
        <v>3378</v>
      </c>
      <c r="B1545" s="46" t="s">
        <v>3379</v>
      </c>
      <c r="C1545" s="47">
        <v>7715664098</v>
      </c>
    </row>
    <row r="1546" spans="1:3" x14ac:dyDescent="0.25">
      <c r="A1546" s="46" t="s">
        <v>3380</v>
      </c>
      <c r="B1546" s="46" t="s">
        <v>3381</v>
      </c>
      <c r="C1546" s="47">
        <v>273050716</v>
      </c>
    </row>
    <row r="1547" spans="1:3" x14ac:dyDescent="0.25">
      <c r="A1547" s="46" t="s">
        <v>3382</v>
      </c>
      <c r="B1547" s="46" t="s">
        <v>2887</v>
      </c>
      <c r="C1547" s="47">
        <v>5902202276</v>
      </c>
    </row>
    <row r="1548" spans="1:3" x14ac:dyDescent="0.25">
      <c r="A1548" s="46" t="s">
        <v>3383</v>
      </c>
      <c r="B1548" s="46" t="s">
        <v>3384</v>
      </c>
      <c r="C1548" s="47">
        <v>6143002656</v>
      </c>
    </row>
    <row r="1549" spans="1:3" x14ac:dyDescent="0.25">
      <c r="A1549" s="46" t="s">
        <v>3385</v>
      </c>
      <c r="B1549" s="46" t="s">
        <v>2898</v>
      </c>
      <c r="C1549" s="47">
        <v>7733323012</v>
      </c>
    </row>
    <row r="1550" spans="1:3" x14ac:dyDescent="0.25">
      <c r="A1550" s="46" t="s">
        <v>2905</v>
      </c>
      <c r="B1550" s="46" t="s">
        <v>2906</v>
      </c>
      <c r="C1550" s="47">
        <v>7424032866</v>
      </c>
    </row>
    <row r="1551" spans="1:3" x14ac:dyDescent="0.25">
      <c r="A1551" s="46" t="s">
        <v>3386</v>
      </c>
      <c r="B1551" s="46" t="s">
        <v>3387</v>
      </c>
      <c r="C1551" s="47">
        <v>7704188023</v>
      </c>
    </row>
    <row r="1552" spans="1:3" x14ac:dyDescent="0.25">
      <c r="A1552" s="46" t="s">
        <v>3388</v>
      </c>
      <c r="B1552" s="46" t="s">
        <v>3389</v>
      </c>
      <c r="C1552" s="47">
        <v>711700216394</v>
      </c>
    </row>
    <row r="1553" spans="1:3" x14ac:dyDescent="0.25">
      <c r="A1553" s="46" t="s">
        <v>937</v>
      </c>
      <c r="B1553" s="46" t="s">
        <v>938</v>
      </c>
      <c r="C1553" s="47">
        <v>7712040126</v>
      </c>
    </row>
    <row r="1554" spans="1:3" x14ac:dyDescent="0.25">
      <c r="A1554" s="46" t="s">
        <v>945</v>
      </c>
      <c r="B1554" s="46" t="s">
        <v>946</v>
      </c>
      <c r="C1554" s="47">
        <v>8401008386</v>
      </c>
    </row>
    <row r="1555" spans="1:3" x14ac:dyDescent="0.25">
      <c r="A1555" s="46" t="s">
        <v>947</v>
      </c>
      <c r="B1555" s="46" t="s">
        <v>948</v>
      </c>
      <c r="C1555" s="47">
        <v>9705001313</v>
      </c>
    </row>
    <row r="1556" spans="1:3" x14ac:dyDescent="0.25">
      <c r="A1556" s="46" t="s">
        <v>953</v>
      </c>
      <c r="B1556" s="46" t="s">
        <v>954</v>
      </c>
      <c r="C1556" s="47">
        <v>7713141247</v>
      </c>
    </row>
    <row r="1557" spans="1:3" x14ac:dyDescent="0.25">
      <c r="A1557" s="46" t="s">
        <v>2928</v>
      </c>
      <c r="B1557" s="46" t="s">
        <v>956</v>
      </c>
      <c r="C1557" s="47">
        <v>7733646084</v>
      </c>
    </row>
    <row r="1558" spans="1:3" x14ac:dyDescent="0.25">
      <c r="A1558" s="46" t="s">
        <v>957</v>
      </c>
      <c r="B1558" s="46" t="s">
        <v>958</v>
      </c>
      <c r="C1558" s="47">
        <v>5448100656</v>
      </c>
    </row>
    <row r="1559" spans="1:3" x14ac:dyDescent="0.25">
      <c r="A1559" s="46" t="s">
        <v>959</v>
      </c>
      <c r="B1559" s="46" t="s">
        <v>960</v>
      </c>
      <c r="C1559" s="47">
        <v>2901126323</v>
      </c>
    </row>
    <row r="1560" spans="1:3" x14ac:dyDescent="0.25">
      <c r="A1560" s="46" t="s">
        <v>3390</v>
      </c>
      <c r="B1560" s="46" t="s">
        <v>962</v>
      </c>
      <c r="C1560" s="47">
        <v>6608003013</v>
      </c>
    </row>
    <row r="1561" spans="1:3" x14ac:dyDescent="0.25">
      <c r="A1561" s="46" t="s">
        <v>963</v>
      </c>
      <c r="B1561" s="46" t="s">
        <v>964</v>
      </c>
      <c r="C1561" s="47">
        <v>2705012263</v>
      </c>
    </row>
    <row r="1562" spans="1:3" x14ac:dyDescent="0.25">
      <c r="A1562" s="46" t="s">
        <v>965</v>
      </c>
      <c r="B1562" s="46" t="s">
        <v>966</v>
      </c>
      <c r="C1562" s="47">
        <v>1645030506</v>
      </c>
    </row>
    <row r="1563" spans="1:3" x14ac:dyDescent="0.25">
      <c r="A1563" s="46" t="s">
        <v>967</v>
      </c>
      <c r="B1563" s="46" t="s">
        <v>968</v>
      </c>
      <c r="C1563" s="47">
        <v>7204002873</v>
      </c>
    </row>
    <row r="1564" spans="1:3" x14ac:dyDescent="0.25">
      <c r="A1564" s="46" t="s">
        <v>985</v>
      </c>
      <c r="B1564" s="46" t="s">
        <v>986</v>
      </c>
      <c r="C1564" s="47">
        <v>1655391893</v>
      </c>
    </row>
    <row r="1565" spans="1:3" x14ac:dyDescent="0.25">
      <c r="A1565" s="46" t="s">
        <v>3391</v>
      </c>
      <c r="B1565" s="46" t="s">
        <v>3392</v>
      </c>
      <c r="C1565" s="47"/>
    </row>
    <row r="1566" spans="1:3" x14ac:dyDescent="0.25">
      <c r="A1566" s="46" t="s">
        <v>1004</v>
      </c>
      <c r="B1566" s="46" t="s">
        <v>1005</v>
      </c>
      <c r="C1566" s="47">
        <v>1650132334</v>
      </c>
    </row>
    <row r="1567" spans="1:3" x14ac:dyDescent="0.25">
      <c r="A1567" s="46" t="s">
        <v>2943</v>
      </c>
      <c r="B1567" s="46" t="s">
        <v>3393</v>
      </c>
      <c r="C1567" s="47">
        <v>1653001850</v>
      </c>
    </row>
    <row r="1568" spans="1:3" x14ac:dyDescent="0.25">
      <c r="A1568" s="46" t="s">
        <v>1020</v>
      </c>
      <c r="B1568" s="46" t="s">
        <v>1021</v>
      </c>
      <c r="C1568" s="47">
        <v>7706218347</v>
      </c>
    </row>
    <row r="1569" spans="1:3" x14ac:dyDescent="0.25">
      <c r="A1569" s="46" t="s">
        <v>1040</v>
      </c>
      <c r="B1569" s="46" t="s">
        <v>1041</v>
      </c>
      <c r="C1569" s="47">
        <v>1650194637</v>
      </c>
    </row>
    <row r="1570" spans="1:3" x14ac:dyDescent="0.25">
      <c r="A1570" s="46" t="s">
        <v>2957</v>
      </c>
      <c r="B1570" s="46" t="s">
        <v>2958</v>
      </c>
      <c r="C1570" s="47">
        <v>1650285500</v>
      </c>
    </row>
    <row r="1571" spans="1:3" x14ac:dyDescent="0.25">
      <c r="A1571" s="46" t="s">
        <v>3394</v>
      </c>
      <c r="B1571" s="46" t="s">
        <v>3159</v>
      </c>
      <c r="C1571" s="47">
        <v>7706450371</v>
      </c>
    </row>
    <row r="1572" spans="1:3" x14ac:dyDescent="0.25">
      <c r="A1572" s="46" t="s">
        <v>3395</v>
      </c>
      <c r="B1572" s="46" t="s">
        <v>3396</v>
      </c>
      <c r="C1572" s="47">
        <v>7838484916</v>
      </c>
    </row>
    <row r="1573" spans="1:3" x14ac:dyDescent="0.25">
      <c r="A1573" s="46" t="s">
        <v>3397</v>
      </c>
      <c r="B1573" s="46" t="s">
        <v>3397</v>
      </c>
      <c r="C1573" s="47">
        <v>163901328964</v>
      </c>
    </row>
    <row r="1574" spans="1:3" x14ac:dyDescent="0.25">
      <c r="A1574" s="46" t="s">
        <v>1268</v>
      </c>
      <c r="B1574" s="46" t="s">
        <v>1269</v>
      </c>
      <c r="C1574" s="47">
        <v>7702070139</v>
      </c>
    </row>
    <row r="1575" spans="1:3" x14ac:dyDescent="0.25">
      <c r="A1575" s="46" t="s">
        <v>1274</v>
      </c>
      <c r="B1575" s="46" t="s">
        <v>1275</v>
      </c>
      <c r="C1575" s="47">
        <v>7713076301</v>
      </c>
    </row>
    <row r="1576" spans="1:3" x14ac:dyDescent="0.25">
      <c r="A1576" s="46" t="s">
        <v>3398</v>
      </c>
      <c r="B1576" s="46" t="s">
        <v>3398</v>
      </c>
      <c r="C1576" s="47">
        <v>1660018020</v>
      </c>
    </row>
    <row r="1577" spans="1:3" x14ac:dyDescent="0.25">
      <c r="A1577" s="46" t="s">
        <v>3399</v>
      </c>
      <c r="B1577" s="46" t="s">
        <v>1341</v>
      </c>
      <c r="C1577" s="47">
        <v>1660013417</v>
      </c>
    </row>
    <row r="1578" spans="1:3" x14ac:dyDescent="0.25">
      <c r="A1578" s="46" t="s">
        <v>3010</v>
      </c>
      <c r="B1578" s="46" t="s">
        <v>3400</v>
      </c>
      <c r="C1578" s="47">
        <v>1655230261</v>
      </c>
    </row>
    <row r="1579" spans="1:3" x14ac:dyDescent="0.25">
      <c r="A1579" s="46" t="s">
        <v>3401</v>
      </c>
      <c r="B1579" s="46" t="s">
        <v>1375</v>
      </c>
      <c r="C1579" s="47">
        <v>165813649306</v>
      </c>
    </row>
    <row r="1580" spans="1:3" x14ac:dyDescent="0.25">
      <c r="A1580" s="46" t="s">
        <v>3402</v>
      </c>
      <c r="B1580" s="46" t="s">
        <v>3403</v>
      </c>
      <c r="C1580" s="47">
        <v>1644004905</v>
      </c>
    </row>
    <row r="1581" spans="1:3" x14ac:dyDescent="0.25">
      <c r="A1581" s="46" t="s">
        <v>3404</v>
      </c>
      <c r="B1581" s="46" t="s">
        <v>3405</v>
      </c>
      <c r="C1581" s="47">
        <v>1650158798</v>
      </c>
    </row>
    <row r="1582" spans="1:3" x14ac:dyDescent="0.25">
      <c r="A1582" s="46" t="s">
        <v>1382</v>
      </c>
      <c r="B1582" s="46" t="s">
        <v>1383</v>
      </c>
      <c r="C1582" s="47">
        <v>7826156685</v>
      </c>
    </row>
    <row r="1583" spans="1:3" x14ac:dyDescent="0.25">
      <c r="A1583" s="46" t="s">
        <v>3406</v>
      </c>
      <c r="B1583" s="46" t="s">
        <v>3407</v>
      </c>
      <c r="C1583" s="47">
        <v>9710049920</v>
      </c>
    </row>
    <row r="1584" spans="1:3" x14ac:dyDescent="0.25">
      <c r="A1584" s="46" t="s">
        <v>3408</v>
      </c>
      <c r="B1584" s="46" t="s">
        <v>1455</v>
      </c>
      <c r="C1584" s="47">
        <v>1655293416</v>
      </c>
    </row>
    <row r="1585" spans="1:3" x14ac:dyDescent="0.25">
      <c r="A1585" s="46" t="s">
        <v>1477</v>
      </c>
      <c r="B1585" s="46" t="s">
        <v>1478</v>
      </c>
      <c r="C1585" s="47">
        <v>165036437429</v>
      </c>
    </row>
    <row r="1586" spans="1:3" x14ac:dyDescent="0.25">
      <c r="A1586" s="46" t="s">
        <v>3054</v>
      </c>
      <c r="B1586" s="46" t="s">
        <v>3055</v>
      </c>
      <c r="C1586" s="47">
        <v>165041295610</v>
      </c>
    </row>
    <row r="1587" spans="1:3" x14ac:dyDescent="0.25">
      <c r="A1587" s="46" t="s">
        <v>3409</v>
      </c>
      <c r="B1587" s="46" t="s">
        <v>3410</v>
      </c>
      <c r="C1587" s="47">
        <v>5036026731</v>
      </c>
    </row>
    <row r="1588" spans="1:3" x14ac:dyDescent="0.25">
      <c r="A1588" s="46" t="s">
        <v>3411</v>
      </c>
      <c r="B1588" s="46" t="s">
        <v>1496</v>
      </c>
      <c r="C1588" s="47">
        <v>7734682230</v>
      </c>
    </row>
    <row r="1589" spans="1:3" x14ac:dyDescent="0.25">
      <c r="A1589" s="46" t="s">
        <v>3412</v>
      </c>
      <c r="B1589" s="46" t="s">
        <v>3413</v>
      </c>
      <c r="C1589" s="47">
        <v>774327100766</v>
      </c>
    </row>
    <row r="1590" spans="1:3" x14ac:dyDescent="0.25">
      <c r="A1590" s="46" t="s">
        <v>1587</v>
      </c>
      <c r="B1590" s="46" t="s">
        <v>1587</v>
      </c>
      <c r="C1590" s="47">
        <v>1650369679</v>
      </c>
    </row>
    <row r="1591" spans="1:3" x14ac:dyDescent="0.25">
      <c r="A1591" s="46" t="s">
        <v>1598</v>
      </c>
      <c r="B1591" s="46" t="s">
        <v>3414</v>
      </c>
      <c r="C1591" s="47">
        <v>6679113421</v>
      </c>
    </row>
    <row r="1592" spans="1:3" x14ac:dyDescent="0.25">
      <c r="A1592" s="46" t="s">
        <v>1665</v>
      </c>
      <c r="B1592" s="46" t="s">
        <v>1666</v>
      </c>
      <c r="C1592" s="47">
        <v>7721793895</v>
      </c>
    </row>
    <row r="1593" spans="1:3" x14ac:dyDescent="0.25">
      <c r="A1593" s="46" t="s">
        <v>1667</v>
      </c>
      <c r="B1593" s="46" t="s">
        <v>1668</v>
      </c>
      <c r="C1593" s="47">
        <v>5261038946</v>
      </c>
    </row>
    <row r="1594" spans="1:3" x14ac:dyDescent="0.25">
      <c r="A1594" s="46" t="s">
        <v>3095</v>
      </c>
      <c r="B1594" s="46" t="s">
        <v>3096</v>
      </c>
      <c r="C1594" s="47">
        <v>7727249963</v>
      </c>
    </row>
    <row r="1595" spans="1:3" x14ac:dyDescent="0.25">
      <c r="A1595" s="46" t="s">
        <v>1681</v>
      </c>
      <c r="B1595" s="46" t="s">
        <v>1681</v>
      </c>
      <c r="C1595" s="47">
        <v>166107229740</v>
      </c>
    </row>
    <row r="1596" spans="1:3" x14ac:dyDescent="0.25">
      <c r="A1596" s="46" t="s">
        <v>3415</v>
      </c>
      <c r="B1596" s="46" t="s">
        <v>3416</v>
      </c>
      <c r="C1596" s="47">
        <v>165707469510</v>
      </c>
    </row>
    <row r="1597" spans="1:3" x14ac:dyDescent="0.25">
      <c r="A1597" s="46" t="s">
        <v>3103</v>
      </c>
      <c r="B1597" s="46" t="s">
        <v>3417</v>
      </c>
      <c r="C1597" s="47">
        <v>165506368230</v>
      </c>
    </row>
    <row r="1598" spans="1:3" x14ac:dyDescent="0.25">
      <c r="A1598" s="46" t="s">
        <v>3418</v>
      </c>
      <c r="B1598" s="46" t="s">
        <v>3418</v>
      </c>
      <c r="C1598" s="47">
        <v>165003334072</v>
      </c>
    </row>
    <row r="1599" spans="1:3" x14ac:dyDescent="0.25">
      <c r="A1599" s="46" t="s">
        <v>1714</v>
      </c>
      <c r="B1599" s="46" t="s">
        <v>1714</v>
      </c>
      <c r="C1599" s="47">
        <v>7723606660</v>
      </c>
    </row>
    <row r="1600" spans="1:3" x14ac:dyDescent="0.25">
      <c r="A1600" s="46" t="s">
        <v>3419</v>
      </c>
      <c r="B1600" s="46" t="s">
        <v>3420</v>
      </c>
      <c r="C1600" s="47">
        <v>1655160600</v>
      </c>
    </row>
    <row r="1601" spans="1:3" x14ac:dyDescent="0.25">
      <c r="A1601" s="46" t="s">
        <v>1718</v>
      </c>
      <c r="B1601" s="46" t="s">
        <v>23</v>
      </c>
      <c r="C1601" s="47">
        <v>1650352964</v>
      </c>
    </row>
    <row r="1602" spans="1:3" x14ac:dyDescent="0.25">
      <c r="A1602" s="46" t="s">
        <v>1721</v>
      </c>
      <c r="B1602" s="46" t="s">
        <v>1722</v>
      </c>
      <c r="C1602" s="47"/>
    </row>
    <row r="1603" spans="1:3" x14ac:dyDescent="0.25">
      <c r="A1603" s="46" t="s">
        <v>3421</v>
      </c>
      <c r="B1603" s="46" t="s">
        <v>3422</v>
      </c>
      <c r="C1603" s="47">
        <v>5635008080</v>
      </c>
    </row>
    <row r="1604" spans="1:3" x14ac:dyDescent="0.25">
      <c r="A1604" s="46" t="s">
        <v>1752</v>
      </c>
      <c r="B1604" s="46" t="s">
        <v>1753</v>
      </c>
      <c r="C1604" s="47">
        <v>1661043157</v>
      </c>
    </row>
    <row r="1605" spans="1:3" x14ac:dyDescent="0.25">
      <c r="A1605" s="46" t="s">
        <v>1779</v>
      </c>
      <c r="B1605" s="46" t="s">
        <v>1780</v>
      </c>
      <c r="C1605" s="47">
        <v>1650255978</v>
      </c>
    </row>
    <row r="1606" spans="1:3" x14ac:dyDescent="0.25">
      <c r="A1606" s="46" t="s">
        <v>3423</v>
      </c>
      <c r="B1606" s="46" t="s">
        <v>3130</v>
      </c>
      <c r="C1606" s="47">
        <v>165016432574</v>
      </c>
    </row>
    <row r="1607" spans="1:3" x14ac:dyDescent="0.25">
      <c r="A1607" s="46" t="s">
        <v>1810</v>
      </c>
      <c r="B1607" s="46" t="s">
        <v>1811</v>
      </c>
      <c r="C1607" s="47">
        <v>7726437900</v>
      </c>
    </row>
    <row r="1608" spans="1:3" x14ac:dyDescent="0.25">
      <c r="A1608" s="46" t="s">
        <v>3424</v>
      </c>
      <c r="B1608" s="46" t="s">
        <v>1821</v>
      </c>
      <c r="C1608" s="47">
        <v>165504812562</v>
      </c>
    </row>
    <row r="1609" spans="1:3" x14ac:dyDescent="0.25">
      <c r="A1609" s="46" t="s">
        <v>3425</v>
      </c>
      <c r="B1609" s="46" t="s">
        <v>3426</v>
      </c>
      <c r="C1609" s="47">
        <v>5029086747</v>
      </c>
    </row>
    <row r="1610" spans="1:3" x14ac:dyDescent="0.25">
      <c r="A1610" s="46" t="s">
        <v>3427</v>
      </c>
      <c r="B1610" s="46" t="s">
        <v>3428</v>
      </c>
      <c r="C1610" s="47">
        <v>7725415380</v>
      </c>
    </row>
    <row r="1611" spans="1:3" x14ac:dyDescent="0.25">
      <c r="A1611" s="46" t="s">
        <v>3429</v>
      </c>
      <c r="B1611" s="46" t="s">
        <v>1110</v>
      </c>
      <c r="C1611" s="47">
        <v>7709443037</v>
      </c>
    </row>
    <row r="1612" spans="1:3" x14ac:dyDescent="0.25">
      <c r="A1612" s="46" t="s">
        <v>3430</v>
      </c>
      <c r="B1612" s="46" t="s">
        <v>3431</v>
      </c>
      <c r="C1612" s="47">
        <v>1650053851</v>
      </c>
    </row>
    <row r="1613" spans="1:3" x14ac:dyDescent="0.25">
      <c r="A1613" s="46" t="s">
        <v>1959</v>
      </c>
      <c r="B1613" s="46" t="s">
        <v>1960</v>
      </c>
      <c r="C1613" s="47"/>
    </row>
    <row r="1614" spans="1:3" x14ac:dyDescent="0.25">
      <c r="A1614" s="46" t="s">
        <v>1965</v>
      </c>
      <c r="B1614" s="46" t="s">
        <v>1966</v>
      </c>
      <c r="C1614" s="47">
        <v>1660018020</v>
      </c>
    </row>
    <row r="1615" spans="1:3" x14ac:dyDescent="0.25">
      <c r="A1615" s="46" t="s">
        <v>3432</v>
      </c>
      <c r="B1615" s="46" t="s">
        <v>3433</v>
      </c>
      <c r="C1615" s="47">
        <v>7724261610</v>
      </c>
    </row>
    <row r="1616" spans="1:3" x14ac:dyDescent="0.25">
      <c r="A1616" s="46" t="s">
        <v>2000</v>
      </c>
      <c r="B1616" s="46" t="s">
        <v>3434</v>
      </c>
      <c r="C1616" s="47">
        <v>7743036465</v>
      </c>
    </row>
    <row r="1617" spans="1:3" x14ac:dyDescent="0.25">
      <c r="A1617" s="46" t="s">
        <v>3435</v>
      </c>
      <c r="B1617" s="46" t="s">
        <v>3436</v>
      </c>
      <c r="C1617" s="47">
        <v>1658036128</v>
      </c>
    </row>
    <row r="1618" spans="1:3" x14ac:dyDescent="0.25">
      <c r="A1618" s="46" t="s">
        <v>3437</v>
      </c>
      <c r="B1618" s="46" t="s">
        <v>3438</v>
      </c>
      <c r="C1618" s="47">
        <v>6215007977</v>
      </c>
    </row>
    <row r="1619" spans="1:3" x14ac:dyDescent="0.25">
      <c r="A1619" s="46" t="s">
        <v>3439</v>
      </c>
      <c r="B1619" s="46" t="s">
        <v>2031</v>
      </c>
      <c r="C1619" s="47">
        <v>7733328892</v>
      </c>
    </row>
    <row r="1620" spans="1:3" x14ac:dyDescent="0.25">
      <c r="A1620" s="46" t="s">
        <v>3204</v>
      </c>
      <c r="B1620" s="46" t="s">
        <v>3440</v>
      </c>
      <c r="C1620" s="47">
        <v>7744000912</v>
      </c>
    </row>
    <row r="1621" spans="1:3" x14ac:dyDescent="0.25">
      <c r="A1621" s="46" t="s">
        <v>2046</v>
      </c>
      <c r="B1621" s="46" t="s">
        <v>3441</v>
      </c>
      <c r="C1621" s="47">
        <v>257995238</v>
      </c>
    </row>
    <row r="1622" spans="1:3" x14ac:dyDescent="0.25">
      <c r="A1622" s="46" t="s">
        <v>3442</v>
      </c>
      <c r="B1622" s="46" t="s">
        <v>3443</v>
      </c>
      <c r="C1622" s="47">
        <v>7721775536</v>
      </c>
    </row>
    <row r="1623" spans="1:3" x14ac:dyDescent="0.25">
      <c r="A1623" s="46" t="s">
        <v>3209</v>
      </c>
      <c r="B1623" s="46" t="s">
        <v>3444</v>
      </c>
      <c r="C1623" s="47">
        <v>7721823853</v>
      </c>
    </row>
    <row r="1624" spans="1:3" x14ac:dyDescent="0.25">
      <c r="A1624" s="46" t="s">
        <v>3445</v>
      </c>
      <c r="B1624" s="46" t="s">
        <v>2127</v>
      </c>
      <c r="C1624" s="47">
        <v>7708503727</v>
      </c>
    </row>
    <row r="1625" spans="1:3" x14ac:dyDescent="0.25">
      <c r="A1625" s="46" t="s">
        <v>3446</v>
      </c>
      <c r="B1625" s="46" t="s">
        <v>2165</v>
      </c>
      <c r="C1625" s="47">
        <v>7710357167</v>
      </c>
    </row>
    <row r="1626" spans="1:3" x14ac:dyDescent="0.25">
      <c r="A1626" s="46" t="s">
        <v>2213</v>
      </c>
      <c r="B1626" s="46" t="s">
        <v>2213</v>
      </c>
      <c r="C1626" s="47">
        <v>7707083893</v>
      </c>
    </row>
    <row r="1627" spans="1:3" x14ac:dyDescent="0.25">
      <c r="A1627" s="46" t="s">
        <v>3447</v>
      </c>
      <c r="B1627" s="46" t="s">
        <v>3448</v>
      </c>
      <c r="C1627" s="47">
        <v>7744002123</v>
      </c>
    </row>
    <row r="1628" spans="1:3" x14ac:dyDescent="0.25">
      <c r="A1628" s="46" t="s">
        <v>3449</v>
      </c>
      <c r="B1628" s="46" t="s">
        <v>3450</v>
      </c>
      <c r="C1628" s="47">
        <v>7706810747</v>
      </c>
    </row>
    <row r="1629" spans="1:3" x14ac:dyDescent="0.25">
      <c r="A1629" s="46" t="s">
        <v>2277</v>
      </c>
      <c r="B1629" s="46" t="s">
        <v>2278</v>
      </c>
      <c r="C1629" s="47">
        <v>7718979307</v>
      </c>
    </row>
    <row r="1630" spans="1:3" x14ac:dyDescent="0.25">
      <c r="A1630" s="46" t="s">
        <v>3250</v>
      </c>
      <c r="B1630" s="46" t="s">
        <v>3251</v>
      </c>
      <c r="C1630" s="47">
        <v>7701725181</v>
      </c>
    </row>
    <row r="1631" spans="1:3" x14ac:dyDescent="0.25">
      <c r="A1631" s="46" t="s">
        <v>3451</v>
      </c>
      <c r="B1631" s="46" t="s">
        <v>3451</v>
      </c>
      <c r="C1631" s="47">
        <v>1657012967</v>
      </c>
    </row>
    <row r="1632" spans="1:3" x14ac:dyDescent="0.25">
      <c r="A1632" s="46" t="s">
        <v>3452</v>
      </c>
      <c r="B1632" s="46" t="s">
        <v>3453</v>
      </c>
      <c r="C1632" s="47">
        <v>5029232010</v>
      </c>
    </row>
    <row r="1633" spans="1:3" x14ac:dyDescent="0.25">
      <c r="A1633" s="46" t="s">
        <v>3273</v>
      </c>
      <c r="B1633" s="46" t="s">
        <v>2375</v>
      </c>
      <c r="C1633" s="47">
        <v>1650249759</v>
      </c>
    </row>
    <row r="1634" spans="1:3" x14ac:dyDescent="0.25">
      <c r="A1634" s="46" t="s">
        <v>2376</v>
      </c>
      <c r="B1634" s="46" t="s">
        <v>2377</v>
      </c>
      <c r="C1634" s="47">
        <v>9701080850</v>
      </c>
    </row>
    <row r="1635" spans="1:3" x14ac:dyDescent="0.25">
      <c r="A1635" s="46" t="s">
        <v>3454</v>
      </c>
      <c r="B1635" s="46" t="s">
        <v>3455</v>
      </c>
      <c r="C1635" s="47">
        <v>7724490000</v>
      </c>
    </row>
    <row r="1636" spans="1:3" x14ac:dyDescent="0.25">
      <c r="A1636" s="46" t="s">
        <v>2416</v>
      </c>
      <c r="B1636" s="46" t="s">
        <v>2417</v>
      </c>
      <c r="C1636" s="47">
        <v>7605016030</v>
      </c>
    </row>
    <row r="1637" spans="1:3" x14ac:dyDescent="0.25">
      <c r="A1637" s="46" t="s">
        <v>3456</v>
      </c>
      <c r="B1637" s="46" t="s">
        <v>3457</v>
      </c>
      <c r="C1637" s="47">
        <v>1658219435</v>
      </c>
    </row>
    <row r="1638" spans="1:3" x14ac:dyDescent="0.25">
      <c r="A1638" s="46" t="s">
        <v>3458</v>
      </c>
      <c r="B1638" s="46" t="s">
        <v>3459</v>
      </c>
      <c r="C1638" s="47"/>
    </row>
    <row r="1639" spans="1:3" x14ac:dyDescent="0.25">
      <c r="A1639" s="46" t="s">
        <v>2479</v>
      </c>
      <c r="B1639" s="46" t="s">
        <v>2480</v>
      </c>
      <c r="C1639" s="47">
        <v>1660328047</v>
      </c>
    </row>
    <row r="1640" spans="1:3" x14ac:dyDescent="0.25">
      <c r="A1640" s="46" t="s">
        <v>2489</v>
      </c>
      <c r="B1640" s="46" t="s">
        <v>3460</v>
      </c>
      <c r="C1640" s="47">
        <v>1650222475</v>
      </c>
    </row>
    <row r="1641" spans="1:3" x14ac:dyDescent="0.25">
      <c r="A1641" s="46" t="s">
        <v>2491</v>
      </c>
      <c r="B1641" s="46" t="s">
        <v>2492</v>
      </c>
      <c r="C1641" s="47">
        <v>290127671450</v>
      </c>
    </row>
    <row r="1642" spans="1:3" x14ac:dyDescent="0.25">
      <c r="A1642" s="46" t="s">
        <v>3461</v>
      </c>
      <c r="B1642" s="46" t="s">
        <v>2498</v>
      </c>
      <c r="C1642" s="47">
        <v>7743772602</v>
      </c>
    </row>
    <row r="1643" spans="1:3" x14ac:dyDescent="0.25">
      <c r="A1643" s="46" t="s">
        <v>2499</v>
      </c>
      <c r="B1643" s="46" t="s">
        <v>2500</v>
      </c>
      <c r="C1643" s="47">
        <v>2901284545</v>
      </c>
    </row>
    <row r="1644" spans="1:3" x14ac:dyDescent="0.25">
      <c r="A1644" s="46" t="s">
        <v>3462</v>
      </c>
      <c r="B1644" s="46" t="s">
        <v>3463</v>
      </c>
      <c r="C1644" s="47">
        <v>6659118037</v>
      </c>
    </row>
    <row r="1645" spans="1:3" x14ac:dyDescent="0.25">
      <c r="A1645" s="46" t="s">
        <v>2565</v>
      </c>
      <c r="B1645" s="46" t="s">
        <v>2565</v>
      </c>
      <c r="C1645" s="47">
        <v>1650040002</v>
      </c>
    </row>
    <row r="1646" spans="1:3" x14ac:dyDescent="0.25">
      <c r="A1646" s="46" t="s">
        <v>2582</v>
      </c>
      <c r="B1646" s="46" t="s">
        <v>498</v>
      </c>
      <c r="C1646" s="47">
        <v>1650372086</v>
      </c>
    </row>
    <row r="1647" spans="1:3" x14ac:dyDescent="0.25">
      <c r="A1647" s="46" t="s">
        <v>2599</v>
      </c>
      <c r="B1647" s="46" t="s">
        <v>2600</v>
      </c>
      <c r="C1647" s="47">
        <v>7708709686</v>
      </c>
    </row>
    <row r="1648" spans="1:3" x14ac:dyDescent="0.25">
      <c r="A1648" s="46" t="s">
        <v>3464</v>
      </c>
      <c r="B1648" s="46" t="s">
        <v>3464</v>
      </c>
      <c r="C1648" s="47">
        <v>7728168971</v>
      </c>
    </row>
    <row r="1649" spans="1:3" x14ac:dyDescent="0.25">
      <c r="A1649" s="46" t="s">
        <v>2618</v>
      </c>
      <c r="B1649" s="46" t="s">
        <v>2619</v>
      </c>
      <c r="C1649" s="47">
        <v>1655003950</v>
      </c>
    </row>
    <row r="1650" spans="1:3" x14ac:dyDescent="0.25">
      <c r="A1650" s="46" t="s">
        <v>2630</v>
      </c>
      <c r="B1650" s="46" t="s">
        <v>3321</v>
      </c>
      <c r="C1650" s="47">
        <v>165044998202</v>
      </c>
    </row>
    <row r="1651" spans="1:3" x14ac:dyDescent="0.25">
      <c r="A1651" s="46" t="s">
        <v>2665</v>
      </c>
      <c r="B1651" s="46" t="s">
        <v>2665</v>
      </c>
      <c r="C1651" s="47">
        <v>165029281509</v>
      </c>
    </row>
    <row r="1652" spans="1:3" x14ac:dyDescent="0.25">
      <c r="A1652" s="46" t="s">
        <v>3465</v>
      </c>
      <c r="B1652" s="46" t="s">
        <v>3466</v>
      </c>
      <c r="C1652" s="47">
        <v>1650272740</v>
      </c>
    </row>
    <row r="1653" spans="1:3" x14ac:dyDescent="0.25">
      <c r="A1653" s="46" t="s">
        <v>2679</v>
      </c>
      <c r="B1653" s="46" t="s">
        <v>2680</v>
      </c>
      <c r="C1653" s="47">
        <v>1657227867</v>
      </c>
    </row>
    <row r="1654" spans="1:3" x14ac:dyDescent="0.25">
      <c r="A1654" s="46" t="s">
        <v>3345</v>
      </c>
      <c r="B1654" s="46" t="s">
        <v>3467</v>
      </c>
      <c r="C1654" s="47">
        <v>165700854375</v>
      </c>
    </row>
    <row r="1655" spans="1:3" x14ac:dyDescent="0.25">
      <c r="A1655" s="46" t="s">
        <v>2711</v>
      </c>
      <c r="B1655" s="46" t="s">
        <v>2712</v>
      </c>
      <c r="C1655" s="47">
        <v>165124231650</v>
      </c>
    </row>
    <row r="1656" spans="1:3" x14ac:dyDescent="0.25">
      <c r="A1656" s="46" t="s">
        <v>651</v>
      </c>
      <c r="B1656" s="46" t="s">
        <v>651</v>
      </c>
      <c r="C1656" s="47">
        <v>165017138744</v>
      </c>
    </row>
    <row r="1657" spans="1:3" x14ac:dyDescent="0.25">
      <c r="A1657" s="46" t="s">
        <v>2773</v>
      </c>
      <c r="B1657" s="46" t="s">
        <v>2774</v>
      </c>
      <c r="C1657" s="47">
        <v>7729633131</v>
      </c>
    </row>
    <row r="1658" spans="1:3" x14ac:dyDescent="0.25">
      <c r="A1658" s="46" t="s">
        <v>3468</v>
      </c>
      <c r="B1658" s="46" t="s">
        <v>2836</v>
      </c>
      <c r="C1658" s="47">
        <v>277124694</v>
      </c>
    </row>
    <row r="1659" spans="1:3" x14ac:dyDescent="0.25">
      <c r="A1659" s="46" t="s">
        <v>3469</v>
      </c>
      <c r="B1659" s="46" t="s">
        <v>2840</v>
      </c>
      <c r="C1659" s="47">
        <v>7705041231</v>
      </c>
    </row>
    <row r="1660" spans="1:3" x14ac:dyDescent="0.25">
      <c r="A1660" s="46" t="s">
        <v>3470</v>
      </c>
      <c r="B1660" s="46" t="s">
        <v>2887</v>
      </c>
      <c r="C1660" s="47">
        <v>5902202276</v>
      </c>
    </row>
    <row r="1661" spans="1:3" x14ac:dyDescent="0.25">
      <c r="A1661" s="46"/>
      <c r="B1661" s="46"/>
      <c r="C1661" s="47"/>
    </row>
    <row r="1662" spans="1:3" x14ac:dyDescent="0.25">
      <c r="A1662" s="46"/>
      <c r="B1662" s="46"/>
      <c r="C1662" s="47"/>
    </row>
    <row r="1663" spans="1:3" x14ac:dyDescent="0.25">
      <c r="A1663" s="46"/>
      <c r="B1663" s="46"/>
      <c r="C1663" s="47"/>
    </row>
    <row r="1664" spans="1:3" x14ac:dyDescent="0.25">
      <c r="A1664" s="46"/>
      <c r="B1664" s="46"/>
      <c r="C1664" s="47"/>
    </row>
    <row r="1665" spans="1:3" x14ac:dyDescent="0.25">
      <c r="A1665" s="46"/>
      <c r="B1665" s="46"/>
      <c r="C1665" s="47"/>
    </row>
    <row r="1666" spans="1:3" x14ac:dyDescent="0.25">
      <c r="A1666" s="46"/>
      <c r="B1666" s="46"/>
      <c r="C1666" s="47"/>
    </row>
    <row r="1667" spans="1:3" x14ac:dyDescent="0.25">
      <c r="A1667" s="46"/>
      <c r="B1667" s="46"/>
      <c r="C1667" s="47"/>
    </row>
    <row r="1668" spans="1:3" x14ac:dyDescent="0.25">
      <c r="A1668" s="46"/>
      <c r="B1668" s="46"/>
      <c r="C1668" s="47"/>
    </row>
    <row r="1669" spans="1:3" x14ac:dyDescent="0.25">
      <c r="A1669" s="46"/>
      <c r="B1669" s="46"/>
      <c r="C1669" s="47"/>
    </row>
    <row r="1670" spans="1:3" x14ac:dyDescent="0.25">
      <c r="A1670" s="46"/>
      <c r="B1670" s="46"/>
      <c r="C1670" s="47"/>
    </row>
    <row r="1671" spans="1:3" x14ac:dyDescent="0.25">
      <c r="A1671" s="46"/>
      <c r="B1671" s="46"/>
      <c r="C1671" s="47"/>
    </row>
    <row r="1672" spans="1:3" x14ac:dyDescent="0.25">
      <c r="A1672" s="46"/>
      <c r="B1672" s="46"/>
      <c r="C1672" s="47"/>
    </row>
    <row r="1673" spans="1:3" x14ac:dyDescent="0.25">
      <c r="A1673" s="46"/>
      <c r="B1673" s="46"/>
      <c r="C1673" s="47"/>
    </row>
    <row r="1674" spans="1:3" x14ac:dyDescent="0.25">
      <c r="A1674" s="46"/>
      <c r="B1674" s="46"/>
      <c r="C1674" s="47"/>
    </row>
    <row r="1675" spans="1:3" x14ac:dyDescent="0.25">
      <c r="A1675" s="46"/>
      <c r="B1675" s="46"/>
      <c r="C1675" s="47"/>
    </row>
    <row r="1676" spans="1:3" x14ac:dyDescent="0.25">
      <c r="A1676" s="46"/>
      <c r="B1676" s="46"/>
      <c r="C1676" s="47"/>
    </row>
    <row r="1677" spans="1:3" x14ac:dyDescent="0.25">
      <c r="A1677" s="46"/>
      <c r="B1677" s="46"/>
      <c r="C1677" s="47"/>
    </row>
    <row r="1678" spans="1:3" x14ac:dyDescent="0.25">
      <c r="A1678" s="46"/>
      <c r="B1678" s="46"/>
      <c r="C1678" s="47"/>
    </row>
    <row r="1679" spans="1:3" x14ac:dyDescent="0.25">
      <c r="A1679" s="46"/>
      <c r="B1679" s="46"/>
      <c r="C1679" s="47"/>
    </row>
    <row r="1680" spans="1:3" x14ac:dyDescent="0.25">
      <c r="A1680" s="46"/>
      <c r="B1680" s="46"/>
      <c r="C1680" s="47"/>
    </row>
    <row r="1681" spans="1:3" x14ac:dyDescent="0.25">
      <c r="A1681" s="46"/>
      <c r="B1681" s="46"/>
      <c r="C1681" s="47"/>
    </row>
    <row r="1682" spans="1:3" x14ac:dyDescent="0.25">
      <c r="A1682" s="46"/>
      <c r="B1682" s="46"/>
      <c r="C1682" s="47"/>
    </row>
    <row r="1683" spans="1:3" x14ac:dyDescent="0.25">
      <c r="A1683" s="46"/>
      <c r="B1683" s="46"/>
      <c r="C1683" s="47"/>
    </row>
    <row r="1684" spans="1:3" x14ac:dyDescent="0.25">
      <c r="A1684" s="46"/>
      <c r="B1684" s="46"/>
      <c r="C1684" s="47"/>
    </row>
    <row r="1685" spans="1:3" x14ac:dyDescent="0.25">
      <c r="A1685" s="46"/>
      <c r="B1685" s="46"/>
      <c r="C1685" s="47"/>
    </row>
    <row r="1686" spans="1:3" x14ac:dyDescent="0.25">
      <c r="A1686" s="46"/>
      <c r="B1686" s="46"/>
      <c r="C1686" s="47"/>
    </row>
    <row r="1687" spans="1:3" x14ac:dyDescent="0.25">
      <c r="A1687" s="46"/>
      <c r="B1687" s="46"/>
      <c r="C1687" s="47"/>
    </row>
    <row r="1688" spans="1:3" x14ac:dyDescent="0.25">
      <c r="A1688" s="46"/>
      <c r="B1688" s="46"/>
      <c r="C1688" s="47"/>
    </row>
    <row r="1689" spans="1:3" x14ac:dyDescent="0.25">
      <c r="A1689" s="46"/>
      <c r="B1689" s="46"/>
      <c r="C1689" s="47"/>
    </row>
    <row r="1690" spans="1:3" x14ac:dyDescent="0.25">
      <c r="A1690" s="46"/>
      <c r="B1690" s="46"/>
      <c r="C1690" s="47"/>
    </row>
    <row r="1691" spans="1:3" x14ac:dyDescent="0.25">
      <c r="A1691" s="46"/>
      <c r="B1691" s="46"/>
      <c r="C1691" s="47"/>
    </row>
    <row r="1692" spans="1:3" x14ac:dyDescent="0.25">
      <c r="A1692" s="46"/>
      <c r="B1692" s="46"/>
      <c r="C1692" s="47"/>
    </row>
    <row r="1693" spans="1:3" x14ac:dyDescent="0.25">
      <c r="A1693" s="46"/>
      <c r="B1693" s="46"/>
      <c r="C1693" s="47"/>
    </row>
    <row r="1694" spans="1:3" x14ac:dyDescent="0.25">
      <c r="A1694" s="46"/>
      <c r="B1694" s="46"/>
      <c r="C1694" s="47"/>
    </row>
    <row r="1695" spans="1:3" x14ac:dyDescent="0.25">
      <c r="A1695" s="46"/>
      <c r="B1695" s="46"/>
      <c r="C1695" s="47"/>
    </row>
    <row r="1696" spans="1:3" x14ac:dyDescent="0.25">
      <c r="A1696" s="46"/>
      <c r="B1696" s="46"/>
      <c r="C1696" s="47"/>
    </row>
    <row r="1697" spans="1:3" x14ac:dyDescent="0.25">
      <c r="A1697" s="46"/>
      <c r="B1697" s="46"/>
      <c r="C1697" s="47"/>
    </row>
    <row r="1698" spans="1:3" x14ac:dyDescent="0.25">
      <c r="A1698" s="46"/>
      <c r="B1698" s="46"/>
      <c r="C1698" s="47"/>
    </row>
    <row r="1699" spans="1:3" x14ac:dyDescent="0.25">
      <c r="A1699" s="46"/>
      <c r="B1699" s="46"/>
      <c r="C1699" s="47"/>
    </row>
    <row r="1700" spans="1:3" x14ac:dyDescent="0.25">
      <c r="A1700" s="46"/>
      <c r="B1700" s="46"/>
      <c r="C1700" s="47"/>
    </row>
    <row r="1701" spans="1:3" x14ac:dyDescent="0.25">
      <c r="A1701" s="46"/>
      <c r="B1701" s="46"/>
      <c r="C1701" s="47"/>
    </row>
    <row r="1702" spans="1:3" x14ac:dyDescent="0.25">
      <c r="A1702" s="46"/>
      <c r="B1702" s="46"/>
      <c r="C1702" s="47"/>
    </row>
    <row r="1703" spans="1:3" x14ac:dyDescent="0.25">
      <c r="A1703" s="46"/>
      <c r="B1703" s="46"/>
      <c r="C1703" s="47"/>
    </row>
    <row r="1704" spans="1:3" x14ac:dyDescent="0.25">
      <c r="A1704" s="46"/>
      <c r="B1704" s="46"/>
      <c r="C1704" s="47"/>
    </row>
    <row r="1705" spans="1:3" x14ac:dyDescent="0.25">
      <c r="A1705" s="46"/>
      <c r="B1705" s="46"/>
      <c r="C1705" s="47"/>
    </row>
    <row r="1706" spans="1:3" x14ac:dyDescent="0.25">
      <c r="A1706" s="46"/>
      <c r="B1706" s="46"/>
      <c r="C1706" s="47"/>
    </row>
    <row r="1707" spans="1:3" x14ac:dyDescent="0.25">
      <c r="A1707" s="46"/>
      <c r="B1707" s="46"/>
      <c r="C1707" s="47"/>
    </row>
    <row r="1708" spans="1:3" x14ac:dyDescent="0.25">
      <c r="A1708" s="46"/>
      <c r="B1708" s="46"/>
      <c r="C1708" s="47"/>
    </row>
    <row r="1709" spans="1:3" x14ac:dyDescent="0.25">
      <c r="A1709" s="46"/>
      <c r="B1709" s="46"/>
      <c r="C1709" s="47"/>
    </row>
    <row r="1710" spans="1:3" x14ac:dyDescent="0.25">
      <c r="A1710" s="46"/>
      <c r="B1710" s="46"/>
      <c r="C1710" s="47"/>
    </row>
    <row r="1711" spans="1:3" x14ac:dyDescent="0.25">
      <c r="A1711" s="46"/>
      <c r="B1711" s="46"/>
      <c r="C1711" s="47"/>
    </row>
    <row r="1712" spans="1:3" x14ac:dyDescent="0.25">
      <c r="A1712" s="46"/>
      <c r="B1712" s="46"/>
      <c r="C1712" s="47"/>
    </row>
    <row r="1713" spans="1:3" x14ac:dyDescent="0.25">
      <c r="A1713" s="46"/>
      <c r="B1713" s="46"/>
      <c r="C1713" s="47"/>
    </row>
    <row r="1714" spans="1:3" x14ac:dyDescent="0.25">
      <c r="A1714" s="46"/>
      <c r="B1714" s="46"/>
      <c r="C1714" s="47"/>
    </row>
    <row r="1715" spans="1:3" x14ac:dyDescent="0.25">
      <c r="A1715" s="46"/>
      <c r="B1715" s="46"/>
      <c r="C1715" s="47"/>
    </row>
    <row r="1716" spans="1:3" x14ac:dyDescent="0.25">
      <c r="A1716" s="46"/>
      <c r="B1716" s="46"/>
      <c r="C1716" s="47"/>
    </row>
    <row r="1717" spans="1:3" x14ac:dyDescent="0.25">
      <c r="A1717" s="46"/>
      <c r="B1717" s="46"/>
      <c r="C1717" s="47"/>
    </row>
    <row r="1718" spans="1:3" x14ac:dyDescent="0.25">
      <c r="A1718" s="46"/>
      <c r="B1718" s="46"/>
      <c r="C1718" s="47"/>
    </row>
    <row r="1719" spans="1:3" x14ac:dyDescent="0.25">
      <c r="A1719" s="46"/>
      <c r="B1719" s="46"/>
      <c r="C1719" s="47"/>
    </row>
    <row r="1720" spans="1:3" x14ac:dyDescent="0.25">
      <c r="A1720" s="46"/>
      <c r="B1720" s="46"/>
      <c r="C1720" s="47"/>
    </row>
    <row r="1721" spans="1:3" x14ac:dyDescent="0.25">
      <c r="A1721" s="46"/>
      <c r="B1721" s="46"/>
      <c r="C1721" s="47"/>
    </row>
    <row r="1722" spans="1:3" x14ac:dyDescent="0.25">
      <c r="A1722" s="46"/>
      <c r="B1722" s="46"/>
      <c r="C1722" s="47"/>
    </row>
    <row r="1723" spans="1:3" x14ac:dyDescent="0.25">
      <c r="A1723" s="46"/>
      <c r="B1723" s="46"/>
      <c r="C1723" s="47"/>
    </row>
    <row r="1724" spans="1:3" x14ac:dyDescent="0.25">
      <c r="A1724" s="46"/>
      <c r="B1724" s="46"/>
      <c r="C1724" s="47"/>
    </row>
    <row r="1725" spans="1:3" x14ac:dyDescent="0.25">
      <c r="A1725" s="46"/>
      <c r="B1725" s="46"/>
      <c r="C1725" s="47"/>
    </row>
    <row r="1726" spans="1:3" x14ac:dyDescent="0.25">
      <c r="A1726" s="46"/>
      <c r="B1726" s="46"/>
      <c r="C1726" s="47"/>
    </row>
    <row r="1727" spans="1:3" x14ac:dyDescent="0.25">
      <c r="A1727" s="46"/>
      <c r="B1727" s="46"/>
      <c r="C1727" s="47"/>
    </row>
    <row r="1728" spans="1:3" x14ac:dyDescent="0.25">
      <c r="A1728" s="46"/>
      <c r="B1728" s="46"/>
      <c r="C1728" s="47"/>
    </row>
    <row r="1729" spans="1:3" x14ac:dyDescent="0.25">
      <c r="A1729" s="46"/>
      <c r="B1729" s="46"/>
      <c r="C1729" s="47"/>
    </row>
    <row r="1730" spans="1:3" x14ac:dyDescent="0.25">
      <c r="A1730" s="46"/>
      <c r="B1730" s="46"/>
      <c r="C1730" s="47"/>
    </row>
    <row r="1731" spans="1:3" x14ac:dyDescent="0.25">
      <c r="A1731" s="46"/>
      <c r="B1731" s="46"/>
      <c r="C1731" s="47"/>
    </row>
    <row r="1732" spans="1:3" x14ac:dyDescent="0.25">
      <c r="A1732" s="46"/>
      <c r="B1732" s="46"/>
      <c r="C1732" s="47"/>
    </row>
    <row r="1733" spans="1:3" x14ac:dyDescent="0.25">
      <c r="A1733" s="46"/>
      <c r="B1733" s="46"/>
      <c r="C1733" s="47"/>
    </row>
    <row r="1734" spans="1:3" x14ac:dyDescent="0.25">
      <c r="A1734" s="46"/>
      <c r="B1734" s="46"/>
      <c r="C1734" s="47"/>
    </row>
    <row r="1735" spans="1:3" x14ac:dyDescent="0.25">
      <c r="A1735" s="46"/>
      <c r="B1735" s="46"/>
      <c r="C1735" s="47"/>
    </row>
    <row r="1736" spans="1:3" x14ac:dyDescent="0.25">
      <c r="A1736" s="46"/>
      <c r="B1736" s="46"/>
      <c r="C1736" s="47"/>
    </row>
    <row r="1737" spans="1:3" x14ac:dyDescent="0.25">
      <c r="A1737" s="46"/>
      <c r="B1737" s="46"/>
      <c r="C1737" s="47"/>
    </row>
    <row r="1738" spans="1:3" x14ac:dyDescent="0.25">
      <c r="A1738" s="46"/>
      <c r="B1738" s="46"/>
      <c r="C1738" s="47"/>
    </row>
    <row r="1739" spans="1:3" x14ac:dyDescent="0.25">
      <c r="A1739" s="46"/>
      <c r="B1739" s="46"/>
      <c r="C1739" s="47"/>
    </row>
    <row r="1740" spans="1:3" x14ac:dyDescent="0.25">
      <c r="A1740" s="46"/>
      <c r="B1740" s="46"/>
      <c r="C1740" s="47"/>
    </row>
    <row r="1741" spans="1:3" x14ac:dyDescent="0.25">
      <c r="A1741" s="46"/>
      <c r="B1741" s="46"/>
      <c r="C1741" s="47"/>
    </row>
    <row r="1742" spans="1:3" x14ac:dyDescent="0.25">
      <c r="A1742" s="46"/>
      <c r="B1742" s="46"/>
      <c r="C1742" s="47"/>
    </row>
    <row r="1743" spans="1:3" x14ac:dyDescent="0.25">
      <c r="A1743" s="46"/>
      <c r="B1743" s="46"/>
      <c r="C1743" s="47"/>
    </row>
    <row r="1744" spans="1:3" x14ac:dyDescent="0.25">
      <c r="A1744" s="46"/>
      <c r="B1744" s="46"/>
      <c r="C1744" s="47"/>
    </row>
    <row r="1745" spans="1:3" x14ac:dyDescent="0.25">
      <c r="A1745" s="46"/>
      <c r="B1745" s="46"/>
      <c r="C1745" s="47"/>
    </row>
    <row r="1746" spans="1:3" x14ac:dyDescent="0.25">
      <c r="A1746" s="46"/>
      <c r="B1746" s="46"/>
      <c r="C1746" s="47"/>
    </row>
    <row r="1747" spans="1:3" x14ac:dyDescent="0.25">
      <c r="A1747" s="46"/>
      <c r="B1747" s="46"/>
      <c r="C1747" s="47"/>
    </row>
    <row r="1748" spans="1:3" x14ac:dyDescent="0.25">
      <c r="A1748" s="46"/>
      <c r="B1748" s="46"/>
      <c r="C1748" s="47"/>
    </row>
    <row r="1749" spans="1:3" x14ac:dyDescent="0.25">
      <c r="A1749" s="46"/>
      <c r="B1749" s="46"/>
      <c r="C1749" s="47"/>
    </row>
    <row r="1750" spans="1:3" x14ac:dyDescent="0.25">
      <c r="A1750" s="46"/>
      <c r="B1750" s="46"/>
      <c r="C1750" s="47"/>
    </row>
    <row r="1751" spans="1:3" x14ac:dyDescent="0.25">
      <c r="A1751" s="46"/>
      <c r="B1751" s="46"/>
      <c r="C1751" s="47"/>
    </row>
    <row r="1752" spans="1:3" x14ac:dyDescent="0.25">
      <c r="A1752" s="46"/>
      <c r="B1752" s="46"/>
      <c r="C1752" s="47"/>
    </row>
    <row r="1753" spans="1:3" x14ac:dyDescent="0.25">
      <c r="A1753" s="46"/>
      <c r="B1753" s="46"/>
      <c r="C1753" s="47"/>
    </row>
    <row r="1754" spans="1:3" x14ac:dyDescent="0.25">
      <c r="A1754" s="46"/>
      <c r="B1754" s="46"/>
      <c r="C1754" s="47"/>
    </row>
    <row r="1755" spans="1:3" x14ac:dyDescent="0.25">
      <c r="A1755" s="46"/>
      <c r="B1755" s="46"/>
      <c r="C1755" s="47"/>
    </row>
    <row r="1756" spans="1:3" x14ac:dyDescent="0.25">
      <c r="A1756" s="46"/>
      <c r="B1756" s="46"/>
      <c r="C1756" s="47"/>
    </row>
    <row r="1757" spans="1:3" x14ac:dyDescent="0.25">
      <c r="A1757" s="46"/>
      <c r="B1757" s="46"/>
      <c r="C1757" s="47"/>
    </row>
    <row r="1758" spans="1:3" x14ac:dyDescent="0.25">
      <c r="A1758" s="46"/>
      <c r="B1758" s="46"/>
      <c r="C1758" s="47"/>
    </row>
    <row r="1759" spans="1:3" x14ac:dyDescent="0.25">
      <c r="A1759" s="46"/>
      <c r="B1759" s="46"/>
      <c r="C1759" s="47"/>
    </row>
    <row r="1760" spans="1:3" x14ac:dyDescent="0.25">
      <c r="A1760" s="46"/>
      <c r="B1760" s="46"/>
      <c r="C1760" s="47"/>
    </row>
    <row r="1761" spans="1:3" x14ac:dyDescent="0.25">
      <c r="A1761" s="46"/>
      <c r="B1761" s="46"/>
      <c r="C1761" s="47"/>
    </row>
    <row r="1762" spans="1:3" x14ac:dyDescent="0.25">
      <c r="A1762" s="46"/>
      <c r="B1762" s="46"/>
      <c r="C1762" s="47"/>
    </row>
    <row r="1763" spans="1:3" x14ac:dyDescent="0.25">
      <c r="A1763" s="46"/>
      <c r="B1763" s="46"/>
      <c r="C1763" s="47"/>
    </row>
    <row r="1764" spans="1:3" x14ac:dyDescent="0.25">
      <c r="A1764" s="46"/>
      <c r="B1764" s="46"/>
      <c r="C1764" s="47"/>
    </row>
    <row r="1765" spans="1:3" x14ac:dyDescent="0.25">
      <c r="A1765" s="46"/>
      <c r="B1765" s="46"/>
      <c r="C1765" s="47"/>
    </row>
    <row r="1766" spans="1:3" x14ac:dyDescent="0.25">
      <c r="A1766" s="46"/>
      <c r="B1766" s="46"/>
      <c r="C1766" s="47"/>
    </row>
    <row r="1767" spans="1:3" x14ac:dyDescent="0.25">
      <c r="A1767" s="46"/>
      <c r="B1767" s="46"/>
      <c r="C1767" s="47"/>
    </row>
    <row r="1768" spans="1:3" x14ac:dyDescent="0.25">
      <c r="A1768" s="46"/>
      <c r="B1768" s="46"/>
      <c r="C1768" s="47"/>
    </row>
    <row r="1769" spans="1:3" x14ac:dyDescent="0.25">
      <c r="A1769" s="46"/>
      <c r="B1769" s="46"/>
      <c r="C1769" s="47"/>
    </row>
    <row r="1770" spans="1:3" x14ac:dyDescent="0.25">
      <c r="A1770" s="46"/>
      <c r="B1770" s="46"/>
      <c r="C1770" s="47"/>
    </row>
    <row r="1771" spans="1:3" x14ac:dyDescent="0.25">
      <c r="A1771" s="46"/>
      <c r="B1771" s="46"/>
      <c r="C1771" s="47"/>
    </row>
    <row r="1772" spans="1:3" x14ac:dyDescent="0.25">
      <c r="A1772" s="46"/>
      <c r="B1772" s="46"/>
      <c r="C1772" s="47"/>
    </row>
    <row r="1773" spans="1:3" x14ac:dyDescent="0.25">
      <c r="A1773" s="46"/>
      <c r="B1773" s="46"/>
      <c r="C1773" s="47"/>
    </row>
    <row r="1774" spans="1:3" x14ac:dyDescent="0.25">
      <c r="A1774" s="46"/>
      <c r="B1774" s="46"/>
      <c r="C1774" s="47"/>
    </row>
    <row r="1775" spans="1:3" x14ac:dyDescent="0.25">
      <c r="A1775" s="46"/>
      <c r="B1775" s="46"/>
      <c r="C1775" s="47"/>
    </row>
    <row r="1776" spans="1:3" x14ac:dyDescent="0.25">
      <c r="A1776" s="46"/>
      <c r="B1776" s="46"/>
      <c r="C1776" s="47"/>
    </row>
    <row r="1777" spans="1:3" x14ac:dyDescent="0.25">
      <c r="A1777" s="46"/>
      <c r="B1777" s="46"/>
      <c r="C1777" s="47"/>
    </row>
    <row r="1778" spans="1:3" x14ac:dyDescent="0.25">
      <c r="A1778" s="46"/>
      <c r="B1778" s="46"/>
      <c r="C1778" s="47"/>
    </row>
    <row r="1779" spans="1:3" x14ac:dyDescent="0.25">
      <c r="A1779" s="46"/>
      <c r="B1779" s="46"/>
      <c r="C1779" s="47"/>
    </row>
    <row r="1780" spans="1:3" x14ac:dyDescent="0.25">
      <c r="A1780" s="46"/>
      <c r="B1780" s="46"/>
      <c r="C1780" s="47"/>
    </row>
    <row r="1781" spans="1:3" x14ac:dyDescent="0.25">
      <c r="A1781" s="46"/>
      <c r="B1781" s="46"/>
      <c r="C1781" s="47"/>
    </row>
    <row r="1782" spans="1:3" x14ac:dyDescent="0.25">
      <c r="A1782" s="46"/>
      <c r="B1782" s="46"/>
      <c r="C1782" s="47"/>
    </row>
    <row r="1783" spans="1:3" x14ac:dyDescent="0.25">
      <c r="A1783" s="46"/>
      <c r="B1783" s="46"/>
      <c r="C1783" s="47"/>
    </row>
    <row r="1784" spans="1:3" x14ac:dyDescent="0.25">
      <c r="A1784" s="46"/>
      <c r="B1784" s="46"/>
      <c r="C1784" s="47"/>
    </row>
    <row r="1785" spans="1:3" x14ac:dyDescent="0.25">
      <c r="A1785" s="46"/>
      <c r="B1785" s="46"/>
      <c r="C1785" s="47"/>
    </row>
    <row r="1786" spans="1:3" x14ac:dyDescent="0.25">
      <c r="A1786" s="46"/>
      <c r="B1786" s="46"/>
      <c r="C1786" s="47"/>
    </row>
    <row r="1787" spans="1:3" x14ac:dyDescent="0.25">
      <c r="A1787" s="46"/>
      <c r="B1787" s="46"/>
      <c r="C1787" s="47"/>
    </row>
    <row r="1788" spans="1:3" x14ac:dyDescent="0.25">
      <c r="A1788" s="46"/>
      <c r="B1788" s="46"/>
      <c r="C1788" s="47"/>
    </row>
    <row r="1789" spans="1:3" x14ac:dyDescent="0.25">
      <c r="A1789" s="46"/>
      <c r="B1789" s="46"/>
      <c r="C1789" s="47"/>
    </row>
    <row r="1790" spans="1:3" x14ac:dyDescent="0.25">
      <c r="A1790" s="46"/>
      <c r="B1790" s="46"/>
      <c r="C1790" s="47"/>
    </row>
    <row r="1791" spans="1:3" x14ac:dyDescent="0.25">
      <c r="A1791" s="46"/>
      <c r="B1791" s="46"/>
      <c r="C1791" s="47"/>
    </row>
    <row r="1792" spans="1:3" x14ac:dyDescent="0.25">
      <c r="A1792" s="46"/>
      <c r="B1792" s="46"/>
      <c r="C1792" s="47"/>
    </row>
    <row r="1793" spans="1:3" x14ac:dyDescent="0.25">
      <c r="A1793" s="46"/>
      <c r="B1793" s="46"/>
      <c r="C1793" s="47"/>
    </row>
    <row r="1794" spans="1:3" x14ac:dyDescent="0.25">
      <c r="A1794" s="46"/>
      <c r="B1794" s="46"/>
      <c r="C1794" s="47"/>
    </row>
    <row r="1795" spans="1:3" x14ac:dyDescent="0.25">
      <c r="A1795" s="46"/>
      <c r="B1795" s="46"/>
      <c r="C1795" s="47"/>
    </row>
    <row r="1796" spans="1:3" x14ac:dyDescent="0.25">
      <c r="A1796" s="46"/>
      <c r="B1796" s="46"/>
      <c r="C1796" s="47"/>
    </row>
    <row r="1797" spans="1:3" x14ac:dyDescent="0.25">
      <c r="A1797" s="46"/>
      <c r="B1797" s="46"/>
      <c r="C1797" s="47"/>
    </row>
    <row r="1798" spans="1:3" x14ac:dyDescent="0.25">
      <c r="A1798" s="46"/>
      <c r="B1798" s="46"/>
      <c r="C1798" s="47"/>
    </row>
    <row r="1799" spans="1:3" x14ac:dyDescent="0.25">
      <c r="A1799" s="46"/>
      <c r="B1799" s="46"/>
      <c r="C1799" s="47"/>
    </row>
    <row r="1800" spans="1:3" x14ac:dyDescent="0.25">
      <c r="A1800" s="46"/>
      <c r="B1800" s="46"/>
      <c r="C1800" s="47"/>
    </row>
    <row r="1801" spans="1:3" x14ac:dyDescent="0.25">
      <c r="A1801" s="46"/>
      <c r="B1801" s="46"/>
      <c r="C1801" s="47"/>
    </row>
    <row r="1802" spans="1:3" x14ac:dyDescent="0.25">
      <c r="A1802" s="46"/>
      <c r="B1802" s="46"/>
      <c r="C1802" s="47"/>
    </row>
    <row r="1803" spans="1:3" x14ac:dyDescent="0.25">
      <c r="A1803" s="46"/>
      <c r="B1803" s="46"/>
      <c r="C1803" s="47"/>
    </row>
    <row r="1804" spans="1:3" x14ac:dyDescent="0.25">
      <c r="A1804" s="46"/>
      <c r="B1804" s="46"/>
      <c r="C1804" s="47"/>
    </row>
    <row r="1805" spans="1:3" x14ac:dyDescent="0.25">
      <c r="A1805" s="46"/>
      <c r="B1805" s="46"/>
      <c r="C1805" s="47"/>
    </row>
    <row r="1806" spans="1:3" x14ac:dyDescent="0.25">
      <c r="A1806" s="46"/>
      <c r="B1806" s="46"/>
      <c r="C1806" s="47"/>
    </row>
    <row r="1807" spans="1:3" x14ac:dyDescent="0.25">
      <c r="A1807" s="46"/>
      <c r="B1807" s="46"/>
      <c r="C1807" s="47"/>
    </row>
    <row r="1808" spans="1:3" x14ac:dyDescent="0.25">
      <c r="A1808" s="46"/>
      <c r="B1808" s="46"/>
      <c r="C1808" s="47"/>
    </row>
    <row r="1809" spans="1:3" x14ac:dyDescent="0.25">
      <c r="A1809" s="46"/>
      <c r="B1809" s="46"/>
      <c r="C1809" s="47"/>
    </row>
    <row r="1810" spans="1:3" x14ac:dyDescent="0.25">
      <c r="A1810" s="46"/>
      <c r="B1810" s="46"/>
      <c r="C1810" s="47"/>
    </row>
    <row r="1811" spans="1:3" x14ac:dyDescent="0.25">
      <c r="A1811" s="46"/>
      <c r="B1811" s="46"/>
      <c r="C1811" s="47"/>
    </row>
    <row r="1812" spans="1:3" x14ac:dyDescent="0.25">
      <c r="A1812" s="46"/>
      <c r="B1812" s="46"/>
      <c r="C1812" s="47"/>
    </row>
    <row r="1813" spans="1:3" x14ac:dyDescent="0.25">
      <c r="A1813" s="46"/>
      <c r="B1813" s="46"/>
      <c r="C1813" s="47"/>
    </row>
    <row r="1814" spans="1:3" x14ac:dyDescent="0.25">
      <c r="A1814" s="46"/>
      <c r="B1814" s="46"/>
      <c r="C1814" s="47"/>
    </row>
    <row r="1815" spans="1:3" x14ac:dyDescent="0.25">
      <c r="A1815" s="46"/>
      <c r="B1815" s="46"/>
      <c r="C1815" s="47"/>
    </row>
    <row r="1816" spans="1:3" x14ac:dyDescent="0.25">
      <c r="A1816" s="46"/>
      <c r="B1816" s="46"/>
      <c r="C1816" s="47"/>
    </row>
    <row r="1817" spans="1:3" x14ac:dyDescent="0.25">
      <c r="A1817" s="46"/>
      <c r="B1817" s="46"/>
      <c r="C1817" s="47"/>
    </row>
    <row r="1818" spans="1:3" x14ac:dyDescent="0.25">
      <c r="A1818" s="46"/>
      <c r="B1818" s="46"/>
      <c r="C1818" s="47"/>
    </row>
    <row r="1819" spans="1:3" x14ac:dyDescent="0.25">
      <c r="A1819" s="46"/>
      <c r="B1819" s="46"/>
      <c r="C1819" s="47"/>
    </row>
    <row r="1820" spans="1:3" x14ac:dyDescent="0.25">
      <c r="A1820" s="46"/>
      <c r="B1820" s="46"/>
      <c r="C1820" s="47"/>
    </row>
    <row r="1821" spans="1:3" x14ac:dyDescent="0.25">
      <c r="A1821" s="46"/>
      <c r="B1821" s="46"/>
      <c r="C1821" s="47"/>
    </row>
    <row r="1822" spans="1:3" x14ac:dyDescent="0.25">
      <c r="A1822" s="46"/>
      <c r="B1822" s="46"/>
      <c r="C1822" s="47"/>
    </row>
    <row r="1823" spans="1:3" x14ac:dyDescent="0.25">
      <c r="A1823" s="46"/>
      <c r="B1823" s="46"/>
      <c r="C1823" s="47"/>
    </row>
    <row r="1824" spans="1:3" x14ac:dyDescent="0.25">
      <c r="A1824" s="46"/>
      <c r="B1824" s="46"/>
      <c r="C1824" s="47"/>
    </row>
    <row r="1825" spans="1:3" x14ac:dyDescent="0.25">
      <c r="A1825" s="46"/>
      <c r="B1825" s="46"/>
      <c r="C1825" s="47"/>
    </row>
    <row r="1826" spans="1:3" x14ac:dyDescent="0.25">
      <c r="A1826" s="46"/>
      <c r="B1826" s="46"/>
      <c r="C1826" s="47"/>
    </row>
    <row r="1827" spans="1:3" x14ac:dyDescent="0.25">
      <c r="A1827" s="46"/>
      <c r="B1827" s="46"/>
      <c r="C1827" s="47"/>
    </row>
    <row r="1828" spans="1:3" x14ac:dyDescent="0.25">
      <c r="A1828" s="46"/>
      <c r="B1828" s="46"/>
      <c r="C1828" s="47"/>
    </row>
    <row r="1829" spans="1:3" x14ac:dyDescent="0.25">
      <c r="A1829" s="46"/>
      <c r="B1829" s="46"/>
      <c r="C1829" s="47"/>
    </row>
    <row r="1830" spans="1:3" x14ac:dyDescent="0.25">
      <c r="A1830" s="46"/>
      <c r="B1830" s="46"/>
      <c r="C1830" s="47"/>
    </row>
    <row r="1831" spans="1:3" x14ac:dyDescent="0.25">
      <c r="A1831" s="46"/>
      <c r="B1831" s="46"/>
      <c r="C1831" s="47"/>
    </row>
    <row r="1832" spans="1:3" x14ac:dyDescent="0.25">
      <c r="A1832" s="46"/>
      <c r="B1832" s="46"/>
      <c r="C1832" s="47"/>
    </row>
    <row r="1833" spans="1:3" x14ac:dyDescent="0.25">
      <c r="A1833" s="46"/>
      <c r="B1833" s="46"/>
      <c r="C1833" s="47"/>
    </row>
    <row r="1834" spans="1:3" x14ac:dyDescent="0.25">
      <c r="A1834" s="46"/>
      <c r="B1834" s="46"/>
      <c r="C1834" s="47"/>
    </row>
    <row r="1835" spans="1:3" x14ac:dyDescent="0.25">
      <c r="A1835" s="46"/>
      <c r="B1835" s="46"/>
      <c r="C1835" s="47"/>
    </row>
    <row r="1836" spans="1:3" x14ac:dyDescent="0.25">
      <c r="A1836" s="46"/>
      <c r="B1836" s="46"/>
      <c r="C1836" s="47"/>
    </row>
    <row r="1837" spans="1:3" x14ac:dyDescent="0.25">
      <c r="A1837" s="46"/>
      <c r="B1837" s="46"/>
      <c r="C1837" s="47"/>
    </row>
    <row r="1838" spans="1:3" x14ac:dyDescent="0.25">
      <c r="A1838" s="46"/>
      <c r="B1838" s="46"/>
      <c r="C1838" s="47"/>
    </row>
    <row r="1839" spans="1:3" x14ac:dyDescent="0.25">
      <c r="A1839" s="46"/>
      <c r="B1839" s="46"/>
      <c r="C1839" s="47"/>
    </row>
    <row r="1840" spans="1:3" x14ac:dyDescent="0.25">
      <c r="A1840" s="46"/>
      <c r="B1840" s="46"/>
      <c r="C1840" s="47"/>
    </row>
    <row r="1841" spans="1:3" x14ac:dyDescent="0.25">
      <c r="A1841" s="46"/>
      <c r="B1841" s="46"/>
      <c r="C1841" s="47"/>
    </row>
    <row r="1842" spans="1:3" x14ac:dyDescent="0.25">
      <c r="A1842" s="46"/>
      <c r="B1842" s="46"/>
      <c r="C1842" s="47"/>
    </row>
    <row r="1843" spans="1:3" x14ac:dyDescent="0.25">
      <c r="A1843" s="46"/>
      <c r="B1843" s="46"/>
      <c r="C1843" s="47"/>
    </row>
    <row r="1844" spans="1:3" x14ac:dyDescent="0.25">
      <c r="A1844" s="46"/>
      <c r="B1844" s="46"/>
      <c r="C1844" s="47"/>
    </row>
    <row r="1845" spans="1:3" x14ac:dyDescent="0.25">
      <c r="A1845" s="46"/>
      <c r="B1845" s="46"/>
      <c r="C1845" s="47"/>
    </row>
    <row r="1846" spans="1:3" x14ac:dyDescent="0.25">
      <c r="A1846" s="46"/>
      <c r="B1846" s="46"/>
      <c r="C1846" s="47"/>
    </row>
    <row r="1847" spans="1:3" x14ac:dyDescent="0.25">
      <c r="A1847" s="46"/>
      <c r="B1847" s="46"/>
      <c r="C1847" s="47"/>
    </row>
    <row r="1848" spans="1:3" x14ac:dyDescent="0.25">
      <c r="A1848" s="46"/>
      <c r="B1848" s="46"/>
      <c r="C1848" s="47"/>
    </row>
    <row r="1849" spans="1:3" x14ac:dyDescent="0.25">
      <c r="A1849" s="46"/>
      <c r="B1849" s="46"/>
      <c r="C1849" s="47"/>
    </row>
    <row r="1850" spans="1:3" x14ac:dyDescent="0.25">
      <c r="A1850" s="46"/>
      <c r="B1850" s="46"/>
      <c r="C1850" s="47"/>
    </row>
    <row r="1851" spans="1:3" x14ac:dyDescent="0.25">
      <c r="A1851" s="46"/>
      <c r="B1851" s="46"/>
      <c r="C1851" s="47"/>
    </row>
    <row r="1852" spans="1:3" x14ac:dyDescent="0.25">
      <c r="A1852" s="46"/>
      <c r="B1852" s="46"/>
      <c r="C1852" s="47"/>
    </row>
    <row r="1853" spans="1:3" x14ac:dyDescent="0.25">
      <c r="A1853" s="46"/>
      <c r="B1853" s="46"/>
      <c r="C1853" s="47"/>
    </row>
    <row r="1854" spans="1:3" x14ac:dyDescent="0.25">
      <c r="A1854" s="46"/>
      <c r="B1854" s="46"/>
      <c r="C1854" s="47"/>
    </row>
    <row r="1855" spans="1:3" x14ac:dyDescent="0.25">
      <c r="A1855" s="46"/>
      <c r="B1855" s="46"/>
      <c r="C1855" s="47"/>
    </row>
    <row r="1856" spans="1:3" x14ac:dyDescent="0.25">
      <c r="A1856" s="46"/>
      <c r="B1856" s="46"/>
      <c r="C1856" s="47"/>
    </row>
    <row r="1857" spans="1:3" x14ac:dyDescent="0.25">
      <c r="A1857" s="46"/>
      <c r="B1857" s="46"/>
      <c r="C1857" s="47"/>
    </row>
    <row r="1858" spans="1:3" x14ac:dyDescent="0.25">
      <c r="A1858" s="46"/>
      <c r="B1858" s="46"/>
      <c r="C1858" s="47"/>
    </row>
    <row r="1859" spans="1:3" x14ac:dyDescent="0.25">
      <c r="A1859" s="46"/>
      <c r="B1859" s="46"/>
      <c r="C1859" s="47"/>
    </row>
    <row r="1860" spans="1:3" x14ac:dyDescent="0.25">
      <c r="A1860" s="46"/>
      <c r="B1860" s="46"/>
      <c r="C1860" s="47"/>
    </row>
    <row r="1861" spans="1:3" x14ac:dyDescent="0.25">
      <c r="A1861" s="46"/>
      <c r="B1861" s="46"/>
      <c r="C1861" s="47"/>
    </row>
    <row r="1862" spans="1:3" x14ac:dyDescent="0.25">
      <c r="A1862" s="46"/>
      <c r="B1862" s="46"/>
      <c r="C1862" s="47"/>
    </row>
    <row r="1863" spans="1:3" x14ac:dyDescent="0.25">
      <c r="A1863" s="46"/>
      <c r="B1863" s="46"/>
      <c r="C1863" s="47"/>
    </row>
    <row r="1864" spans="1:3" x14ac:dyDescent="0.25">
      <c r="A1864" s="46"/>
      <c r="B1864" s="46"/>
      <c r="C1864" s="47"/>
    </row>
    <row r="1865" spans="1:3" x14ac:dyDescent="0.25">
      <c r="A1865" s="46"/>
      <c r="B1865" s="46"/>
      <c r="C1865" s="47"/>
    </row>
    <row r="1866" spans="1:3" x14ac:dyDescent="0.25">
      <c r="A1866" s="46"/>
      <c r="B1866" s="46"/>
      <c r="C1866" s="47"/>
    </row>
    <row r="1867" spans="1:3" x14ac:dyDescent="0.25">
      <c r="A1867" s="46"/>
      <c r="B1867" s="46"/>
      <c r="C1867" s="47"/>
    </row>
    <row r="1868" spans="1:3" x14ac:dyDescent="0.25">
      <c r="A1868" s="46"/>
      <c r="B1868" s="46"/>
      <c r="C1868" s="47"/>
    </row>
    <row r="1869" spans="1:3" x14ac:dyDescent="0.25">
      <c r="A1869" s="46"/>
      <c r="B1869" s="46"/>
      <c r="C1869" s="47"/>
    </row>
    <row r="1870" spans="1:3" x14ac:dyDescent="0.25">
      <c r="A1870" s="46"/>
      <c r="B1870" s="46"/>
      <c r="C1870" s="47"/>
    </row>
    <row r="1871" spans="1:3" x14ac:dyDescent="0.25">
      <c r="A1871" s="46"/>
      <c r="B1871" s="46"/>
      <c r="C1871" s="47"/>
    </row>
    <row r="1872" spans="1:3" x14ac:dyDescent="0.25">
      <c r="A1872" s="46"/>
      <c r="B1872" s="46"/>
      <c r="C1872" s="47"/>
    </row>
    <row r="1873" spans="1:3" x14ac:dyDescent="0.25">
      <c r="A1873" s="46"/>
      <c r="B1873" s="46"/>
      <c r="C1873" s="47"/>
    </row>
    <row r="1874" spans="1:3" x14ac:dyDescent="0.25">
      <c r="A1874" s="46"/>
      <c r="B1874" s="46"/>
      <c r="C1874" s="47"/>
    </row>
    <row r="1875" spans="1:3" x14ac:dyDescent="0.25">
      <c r="A1875" s="46"/>
      <c r="B1875" s="46"/>
      <c r="C1875" s="47"/>
    </row>
    <row r="1876" spans="1:3" x14ac:dyDescent="0.25">
      <c r="A1876" s="46"/>
      <c r="B1876" s="46"/>
      <c r="C1876" s="47"/>
    </row>
    <row r="1877" spans="1:3" x14ac:dyDescent="0.25">
      <c r="A1877" s="46"/>
      <c r="B1877" s="46"/>
      <c r="C1877" s="47"/>
    </row>
    <row r="1878" spans="1:3" x14ac:dyDescent="0.25">
      <c r="A1878" s="46"/>
      <c r="B1878" s="46"/>
      <c r="C1878" s="47"/>
    </row>
    <row r="1879" spans="1:3" x14ac:dyDescent="0.25">
      <c r="A1879" s="46"/>
      <c r="B1879" s="46"/>
      <c r="C1879" s="47"/>
    </row>
    <row r="1880" spans="1:3" x14ac:dyDescent="0.25">
      <c r="A1880" s="46"/>
      <c r="B1880" s="46"/>
      <c r="C1880" s="47"/>
    </row>
    <row r="1881" spans="1:3" x14ac:dyDescent="0.25">
      <c r="A1881" s="46"/>
      <c r="B1881" s="46"/>
      <c r="C1881" s="47"/>
    </row>
    <row r="1882" spans="1:3" x14ac:dyDescent="0.25">
      <c r="A1882" s="46"/>
      <c r="B1882" s="46"/>
      <c r="C1882" s="47"/>
    </row>
    <row r="1883" spans="1:3" x14ac:dyDescent="0.25">
      <c r="A1883" s="46"/>
      <c r="B1883" s="46"/>
      <c r="C1883" s="47"/>
    </row>
    <row r="1884" spans="1:3" x14ac:dyDescent="0.25">
      <c r="A1884" s="46"/>
      <c r="B1884" s="46"/>
      <c r="C1884" s="47"/>
    </row>
    <row r="1885" spans="1:3" x14ac:dyDescent="0.25">
      <c r="A1885" s="46"/>
      <c r="B1885" s="46"/>
      <c r="C1885" s="47"/>
    </row>
    <row r="1886" spans="1:3" x14ac:dyDescent="0.25">
      <c r="A1886" s="46"/>
      <c r="B1886" s="46"/>
      <c r="C1886" s="47"/>
    </row>
    <row r="1887" spans="1:3" x14ac:dyDescent="0.25">
      <c r="A1887" s="46"/>
      <c r="B1887" s="46"/>
      <c r="C1887" s="47"/>
    </row>
    <row r="1888" spans="1:3" x14ac:dyDescent="0.25">
      <c r="A1888" s="46"/>
      <c r="B1888" s="46"/>
      <c r="C1888" s="47"/>
    </row>
    <row r="1889" spans="1:3" x14ac:dyDescent="0.25">
      <c r="A1889" s="46"/>
      <c r="B1889" s="46"/>
      <c r="C1889" s="47"/>
    </row>
    <row r="1890" spans="1:3" x14ac:dyDescent="0.25">
      <c r="A1890" s="46"/>
      <c r="B1890" s="46"/>
      <c r="C1890" s="47"/>
    </row>
    <row r="1891" spans="1:3" x14ac:dyDescent="0.25">
      <c r="A1891" s="46"/>
      <c r="B1891" s="46"/>
      <c r="C1891" s="47"/>
    </row>
    <row r="1892" spans="1:3" x14ac:dyDescent="0.25">
      <c r="A1892" s="46"/>
      <c r="B1892" s="46"/>
      <c r="C1892" s="47"/>
    </row>
    <row r="1893" spans="1:3" x14ac:dyDescent="0.25">
      <c r="A1893" s="46"/>
      <c r="B1893" s="46"/>
      <c r="C1893" s="47"/>
    </row>
    <row r="1894" spans="1:3" x14ac:dyDescent="0.25">
      <c r="A1894" s="46"/>
      <c r="B1894" s="46"/>
      <c r="C1894" s="47"/>
    </row>
    <row r="1895" spans="1:3" x14ac:dyDescent="0.25">
      <c r="A1895" s="46"/>
      <c r="B1895" s="46"/>
      <c r="C1895" s="47"/>
    </row>
    <row r="1896" spans="1:3" x14ac:dyDescent="0.25">
      <c r="A1896" s="46"/>
      <c r="B1896" s="46"/>
      <c r="C1896" s="47"/>
    </row>
    <row r="1897" spans="1:3" x14ac:dyDescent="0.25">
      <c r="A1897" s="46"/>
      <c r="B1897" s="46"/>
      <c r="C1897" s="47"/>
    </row>
    <row r="1898" spans="1:3" x14ac:dyDescent="0.25">
      <c r="A1898" s="46"/>
      <c r="B1898" s="46"/>
      <c r="C1898" s="47"/>
    </row>
    <row r="1899" spans="1:3" x14ac:dyDescent="0.25">
      <c r="A1899" s="46"/>
      <c r="B1899" s="46"/>
      <c r="C1899" s="47"/>
    </row>
    <row r="1900" spans="1:3" x14ac:dyDescent="0.25">
      <c r="A1900" s="46"/>
      <c r="B1900" s="46"/>
      <c r="C1900" s="47"/>
    </row>
    <row r="1901" spans="1:3" x14ac:dyDescent="0.25">
      <c r="A1901" s="46"/>
      <c r="B1901" s="46"/>
      <c r="C1901" s="47"/>
    </row>
    <row r="1902" spans="1:3" x14ac:dyDescent="0.25">
      <c r="A1902" s="46"/>
      <c r="B1902" s="46"/>
      <c r="C1902" s="47"/>
    </row>
    <row r="1903" spans="1:3" x14ac:dyDescent="0.25">
      <c r="A1903" s="46"/>
      <c r="B1903" s="46"/>
      <c r="C1903" s="47"/>
    </row>
    <row r="1904" spans="1:3" x14ac:dyDescent="0.25">
      <c r="A1904" s="46"/>
      <c r="B1904" s="46"/>
      <c r="C1904" s="47"/>
    </row>
    <row r="1905" spans="1:3" x14ac:dyDescent="0.25">
      <c r="A1905" s="46"/>
      <c r="B1905" s="46"/>
      <c r="C1905" s="47"/>
    </row>
    <row r="1906" spans="1:3" x14ac:dyDescent="0.25">
      <c r="A1906" s="46"/>
      <c r="B1906" s="46"/>
      <c r="C1906" s="47"/>
    </row>
    <row r="1907" spans="1:3" x14ac:dyDescent="0.25">
      <c r="A1907" s="46"/>
      <c r="B1907" s="46"/>
      <c r="C1907" s="47"/>
    </row>
    <row r="1908" spans="1:3" x14ac:dyDescent="0.25">
      <c r="A1908" s="46"/>
      <c r="B1908" s="46"/>
      <c r="C1908" s="47"/>
    </row>
    <row r="1909" spans="1:3" x14ac:dyDescent="0.25">
      <c r="A1909" s="46"/>
      <c r="B1909" s="46"/>
      <c r="C1909" s="47"/>
    </row>
    <row r="1910" spans="1:3" x14ac:dyDescent="0.25">
      <c r="A1910" s="46"/>
      <c r="B1910" s="46"/>
      <c r="C1910" s="47"/>
    </row>
    <row r="1911" spans="1:3" x14ac:dyDescent="0.25">
      <c r="A1911" s="46"/>
      <c r="B1911" s="46"/>
      <c r="C1911" s="47"/>
    </row>
    <row r="1912" spans="1:3" x14ac:dyDescent="0.25">
      <c r="A1912" s="46"/>
      <c r="B1912" s="46"/>
      <c r="C1912" s="47"/>
    </row>
    <row r="1913" spans="1:3" x14ac:dyDescent="0.25">
      <c r="A1913" s="46"/>
      <c r="B1913" s="46"/>
      <c r="C1913" s="47"/>
    </row>
    <row r="1914" spans="1:3" x14ac:dyDescent="0.25">
      <c r="A1914" s="46"/>
      <c r="B1914" s="46"/>
      <c r="C1914" s="47"/>
    </row>
    <row r="1915" spans="1:3" x14ac:dyDescent="0.25">
      <c r="A1915" s="46"/>
      <c r="B1915" s="46"/>
      <c r="C1915" s="47"/>
    </row>
    <row r="1916" spans="1:3" x14ac:dyDescent="0.25">
      <c r="A1916" s="46"/>
      <c r="B1916" s="46"/>
      <c r="C1916" s="47"/>
    </row>
    <row r="1917" spans="1:3" x14ac:dyDescent="0.25">
      <c r="A1917" s="46"/>
      <c r="B1917" s="46"/>
      <c r="C1917" s="47"/>
    </row>
    <row r="1918" spans="1:3" x14ac:dyDescent="0.25">
      <c r="A1918" s="46"/>
      <c r="B1918" s="46"/>
      <c r="C1918" s="47"/>
    </row>
    <row r="1919" spans="1:3" x14ac:dyDescent="0.25">
      <c r="A1919" s="46"/>
      <c r="B1919" s="46"/>
      <c r="C1919" s="47"/>
    </row>
    <row r="1920" spans="1:3" x14ac:dyDescent="0.25">
      <c r="A1920" s="46"/>
      <c r="B1920" s="46"/>
      <c r="C1920" s="47"/>
    </row>
    <row r="1921" spans="1:3" x14ac:dyDescent="0.25">
      <c r="A1921" s="46"/>
      <c r="B1921" s="46"/>
      <c r="C1921" s="47"/>
    </row>
    <row r="1922" spans="1:3" x14ac:dyDescent="0.25">
      <c r="A1922" s="46"/>
      <c r="B1922" s="46"/>
      <c r="C1922" s="47"/>
    </row>
    <row r="1923" spans="1:3" x14ac:dyDescent="0.25">
      <c r="A1923" s="46"/>
      <c r="B1923" s="46"/>
      <c r="C1923" s="47"/>
    </row>
    <row r="1924" spans="1:3" x14ac:dyDescent="0.25">
      <c r="A1924" s="46"/>
      <c r="B1924" s="46"/>
      <c r="C1924" s="47"/>
    </row>
    <row r="1925" spans="1:3" x14ac:dyDescent="0.25">
      <c r="A1925" s="46"/>
      <c r="B1925" s="46"/>
      <c r="C1925" s="47"/>
    </row>
    <row r="1926" spans="1:3" x14ac:dyDescent="0.25">
      <c r="A1926" s="46"/>
      <c r="B1926" s="46"/>
      <c r="C1926" s="47"/>
    </row>
    <row r="1927" spans="1:3" x14ac:dyDescent="0.25">
      <c r="A1927" s="46"/>
      <c r="B1927" s="46"/>
      <c r="C1927" s="47"/>
    </row>
    <row r="1928" spans="1:3" x14ac:dyDescent="0.25">
      <c r="A1928" s="46"/>
      <c r="B1928" s="46"/>
      <c r="C1928" s="47"/>
    </row>
    <row r="1929" spans="1:3" x14ac:dyDescent="0.25">
      <c r="A1929" s="46"/>
      <c r="B1929" s="46"/>
      <c r="C1929" s="47"/>
    </row>
    <row r="1930" spans="1:3" x14ac:dyDescent="0.25">
      <c r="A1930" s="46"/>
      <c r="B1930" s="46"/>
      <c r="C1930" s="47"/>
    </row>
    <row r="1931" spans="1:3" x14ac:dyDescent="0.25">
      <c r="A1931" s="46"/>
      <c r="B1931" s="46"/>
      <c r="C1931" s="47"/>
    </row>
    <row r="1932" spans="1:3" x14ac:dyDescent="0.25">
      <c r="A1932" s="46"/>
      <c r="B1932" s="46"/>
      <c r="C1932" s="47"/>
    </row>
    <row r="1933" spans="1:3" x14ac:dyDescent="0.25">
      <c r="A1933" s="46"/>
      <c r="B1933" s="46"/>
      <c r="C1933" s="47"/>
    </row>
    <row r="1934" spans="1:3" x14ac:dyDescent="0.25">
      <c r="A1934" s="46"/>
      <c r="B1934" s="46"/>
      <c r="C1934" s="47"/>
    </row>
    <row r="1935" spans="1:3" x14ac:dyDescent="0.25">
      <c r="A1935" s="46"/>
      <c r="B1935" s="46"/>
      <c r="C1935" s="47"/>
    </row>
    <row r="1936" spans="1:3" x14ac:dyDescent="0.25">
      <c r="A1936" s="46"/>
      <c r="B1936" s="46"/>
      <c r="C1936" s="47"/>
    </row>
    <row r="1937" spans="1:3" x14ac:dyDescent="0.25">
      <c r="A1937" s="46"/>
      <c r="B1937" s="46"/>
      <c r="C1937" s="47"/>
    </row>
    <row r="1938" spans="1:3" x14ac:dyDescent="0.25">
      <c r="A1938" s="46"/>
      <c r="B1938" s="46"/>
      <c r="C1938" s="47"/>
    </row>
    <row r="1939" spans="1:3" x14ac:dyDescent="0.25">
      <c r="A1939" s="46"/>
      <c r="B1939" s="46"/>
      <c r="C1939" s="47"/>
    </row>
    <row r="1940" spans="1:3" x14ac:dyDescent="0.25">
      <c r="A1940" s="46"/>
      <c r="B1940" s="46"/>
      <c r="C1940" s="47"/>
    </row>
    <row r="1941" spans="1:3" x14ac:dyDescent="0.25">
      <c r="A1941" s="46"/>
      <c r="B1941" s="46"/>
      <c r="C1941" s="47"/>
    </row>
    <row r="1942" spans="1:3" x14ac:dyDescent="0.25">
      <c r="A1942" s="46"/>
      <c r="B1942" s="46"/>
      <c r="C1942" s="47"/>
    </row>
    <row r="1943" spans="1:3" x14ac:dyDescent="0.25">
      <c r="A1943" s="46"/>
      <c r="B1943" s="46"/>
      <c r="C1943" s="47"/>
    </row>
    <row r="1944" spans="1:3" x14ac:dyDescent="0.25">
      <c r="A1944" s="46"/>
      <c r="B1944" s="46"/>
      <c r="C1944" s="47"/>
    </row>
    <row r="1945" spans="1:3" x14ac:dyDescent="0.25">
      <c r="A1945" s="46"/>
      <c r="B1945" s="46"/>
      <c r="C1945" s="47"/>
    </row>
    <row r="1946" spans="1:3" x14ac:dyDescent="0.25">
      <c r="A1946" s="46"/>
      <c r="B1946" s="46"/>
      <c r="C1946" s="47"/>
    </row>
    <row r="1947" spans="1:3" x14ac:dyDescent="0.25">
      <c r="A1947" s="46"/>
      <c r="B1947" s="46"/>
      <c r="C1947" s="47"/>
    </row>
    <row r="1948" spans="1:3" x14ac:dyDescent="0.25">
      <c r="A1948" s="46"/>
      <c r="B1948" s="46"/>
      <c r="C1948" s="47"/>
    </row>
    <row r="1949" spans="1:3" x14ac:dyDescent="0.25">
      <c r="A1949" s="46"/>
      <c r="B1949" s="46"/>
      <c r="C1949" s="47"/>
    </row>
    <row r="1950" spans="1:3" x14ac:dyDescent="0.25">
      <c r="A1950" s="46"/>
      <c r="B1950" s="46"/>
      <c r="C1950" s="47"/>
    </row>
    <row r="1951" spans="1:3" x14ac:dyDescent="0.25">
      <c r="A1951" s="46"/>
      <c r="B1951" s="46"/>
      <c r="C1951" s="47"/>
    </row>
    <row r="1952" spans="1:3" x14ac:dyDescent="0.25">
      <c r="A1952" s="46"/>
      <c r="B1952" s="46"/>
      <c r="C1952" s="47"/>
    </row>
    <row r="1953" spans="1:3" x14ac:dyDescent="0.25">
      <c r="A1953" s="46"/>
      <c r="B1953" s="46"/>
      <c r="C1953" s="47"/>
    </row>
    <row r="1954" spans="1:3" x14ac:dyDescent="0.25">
      <c r="A1954" s="46"/>
      <c r="B1954" s="46"/>
      <c r="C1954" s="47"/>
    </row>
    <row r="1955" spans="1:3" x14ac:dyDescent="0.25">
      <c r="A1955" s="46"/>
      <c r="B1955" s="46"/>
      <c r="C1955" s="47"/>
    </row>
    <row r="1956" spans="1:3" x14ac:dyDescent="0.25">
      <c r="A1956" s="46"/>
      <c r="B1956" s="46"/>
      <c r="C1956" s="47"/>
    </row>
    <row r="1957" spans="1:3" x14ac:dyDescent="0.25">
      <c r="A1957" s="46"/>
      <c r="B1957" s="46"/>
      <c r="C1957" s="47"/>
    </row>
    <row r="1958" spans="1:3" x14ac:dyDescent="0.25">
      <c r="A1958" s="46"/>
      <c r="B1958" s="46"/>
      <c r="C1958" s="47"/>
    </row>
    <row r="1959" spans="1:3" x14ac:dyDescent="0.25">
      <c r="A1959" s="46"/>
      <c r="B1959" s="46"/>
      <c r="C1959" s="47"/>
    </row>
    <row r="1960" spans="1:3" x14ac:dyDescent="0.25">
      <c r="A1960" s="46"/>
      <c r="B1960" s="46"/>
      <c r="C1960" s="47"/>
    </row>
    <row r="1961" spans="1:3" x14ac:dyDescent="0.25">
      <c r="A1961" s="46"/>
      <c r="B1961" s="46"/>
      <c r="C1961" s="47"/>
    </row>
    <row r="1962" spans="1:3" x14ac:dyDescent="0.25">
      <c r="A1962" s="46"/>
      <c r="B1962" s="46"/>
      <c r="C1962" s="47"/>
    </row>
    <row r="1963" spans="1:3" x14ac:dyDescent="0.25">
      <c r="A1963" s="46"/>
      <c r="B1963" s="46"/>
      <c r="C1963" s="47"/>
    </row>
    <row r="1964" spans="1:3" x14ac:dyDescent="0.25">
      <c r="A1964" s="46"/>
      <c r="B1964" s="46"/>
      <c r="C1964" s="47"/>
    </row>
    <row r="1965" spans="1:3" x14ac:dyDescent="0.25">
      <c r="A1965" s="46"/>
      <c r="B1965" s="46"/>
      <c r="C1965" s="47"/>
    </row>
    <row r="1966" spans="1:3" x14ac:dyDescent="0.25">
      <c r="A1966" s="46"/>
      <c r="B1966" s="46"/>
      <c r="C1966" s="47"/>
    </row>
    <row r="1967" spans="1:3" x14ac:dyDescent="0.25">
      <c r="A1967" s="46"/>
      <c r="B1967" s="46"/>
      <c r="C1967" s="47"/>
    </row>
    <row r="1968" spans="1:3" x14ac:dyDescent="0.25">
      <c r="A1968" s="46"/>
      <c r="B1968" s="46"/>
      <c r="C1968" s="47"/>
    </row>
    <row r="1969" spans="1:3" x14ac:dyDescent="0.25">
      <c r="A1969" s="46"/>
      <c r="B1969" s="46"/>
      <c r="C1969" s="47"/>
    </row>
    <row r="1970" spans="1:3" x14ac:dyDescent="0.25">
      <c r="A1970" s="46"/>
      <c r="B1970" s="46"/>
      <c r="C1970" s="47"/>
    </row>
    <row r="1971" spans="1:3" x14ac:dyDescent="0.25">
      <c r="A1971" s="46"/>
      <c r="B1971" s="46"/>
      <c r="C1971" s="47"/>
    </row>
    <row r="1972" spans="1:3" x14ac:dyDescent="0.25">
      <c r="A1972" s="46"/>
      <c r="B1972" s="46"/>
      <c r="C1972" s="47"/>
    </row>
    <row r="1973" spans="1:3" x14ac:dyDescent="0.25">
      <c r="A1973" s="46"/>
      <c r="B1973" s="46"/>
      <c r="C1973" s="47"/>
    </row>
    <row r="1974" spans="1:3" x14ac:dyDescent="0.25">
      <c r="A1974" s="46"/>
      <c r="B1974" s="46"/>
      <c r="C1974" s="47"/>
    </row>
    <row r="1975" spans="1:3" x14ac:dyDescent="0.25">
      <c r="A1975" s="46"/>
      <c r="B1975" s="46"/>
      <c r="C1975" s="47"/>
    </row>
    <row r="1976" spans="1:3" x14ac:dyDescent="0.25">
      <c r="A1976" s="46"/>
      <c r="B1976" s="46"/>
      <c r="C1976" s="47"/>
    </row>
    <row r="1977" spans="1:3" x14ac:dyDescent="0.25">
      <c r="A1977" s="46"/>
      <c r="B1977" s="46"/>
      <c r="C1977" s="47"/>
    </row>
    <row r="1978" spans="1:3" x14ac:dyDescent="0.25">
      <c r="A1978" s="46"/>
      <c r="B1978" s="46"/>
      <c r="C1978" s="47"/>
    </row>
    <row r="1979" spans="1:3" x14ac:dyDescent="0.25">
      <c r="A1979" s="46"/>
      <c r="B1979" s="46"/>
      <c r="C1979" s="47"/>
    </row>
    <row r="1980" spans="1:3" x14ac:dyDescent="0.25">
      <c r="A1980" s="46"/>
      <c r="B1980" s="46"/>
      <c r="C1980" s="47"/>
    </row>
    <row r="1981" spans="1:3" x14ac:dyDescent="0.25">
      <c r="A1981" s="46"/>
      <c r="B1981" s="46"/>
      <c r="C1981" s="47"/>
    </row>
    <row r="1982" spans="1:3" x14ac:dyDescent="0.25">
      <c r="A1982" s="46"/>
      <c r="B1982" s="46"/>
      <c r="C1982" s="47"/>
    </row>
    <row r="1983" spans="1:3" x14ac:dyDescent="0.25">
      <c r="A1983" s="46"/>
      <c r="B1983" s="46"/>
      <c r="C1983" s="47"/>
    </row>
    <row r="1984" spans="1:3" x14ac:dyDescent="0.25">
      <c r="A1984" s="46"/>
      <c r="B1984" s="46"/>
      <c r="C1984" s="47"/>
    </row>
    <row r="1985" spans="1:3" x14ac:dyDescent="0.25">
      <c r="A1985" s="46"/>
      <c r="B1985" s="46"/>
      <c r="C1985" s="47"/>
    </row>
    <row r="1986" spans="1:3" x14ac:dyDescent="0.25">
      <c r="A1986" s="46"/>
      <c r="B1986" s="46"/>
      <c r="C1986" s="47"/>
    </row>
    <row r="1987" spans="1:3" x14ac:dyDescent="0.25">
      <c r="A1987" s="46"/>
      <c r="B1987" s="46"/>
      <c r="C1987" s="47"/>
    </row>
    <row r="1988" spans="1:3" x14ac:dyDescent="0.25">
      <c r="A1988" s="46"/>
      <c r="B1988" s="46"/>
      <c r="C1988" s="47"/>
    </row>
    <row r="1989" spans="1:3" x14ac:dyDescent="0.25">
      <c r="A1989" s="46"/>
      <c r="B1989" s="46"/>
      <c r="C1989" s="47"/>
    </row>
    <row r="1990" spans="1:3" x14ac:dyDescent="0.25">
      <c r="A1990" s="46"/>
      <c r="B1990" s="46"/>
      <c r="C1990" s="47"/>
    </row>
    <row r="1991" spans="1:3" x14ac:dyDescent="0.25">
      <c r="A1991" s="46"/>
      <c r="B1991" s="46"/>
      <c r="C1991" s="47"/>
    </row>
    <row r="1992" spans="1:3" x14ac:dyDescent="0.25">
      <c r="A1992" s="46"/>
      <c r="B1992" s="46"/>
      <c r="C1992" s="47"/>
    </row>
    <row r="1993" spans="1:3" x14ac:dyDescent="0.25">
      <c r="A1993" s="46"/>
      <c r="B1993" s="46"/>
      <c r="C1993" s="47"/>
    </row>
    <row r="1994" spans="1:3" x14ac:dyDescent="0.25">
      <c r="A1994" s="46"/>
      <c r="B1994" s="46"/>
      <c r="C1994" s="47"/>
    </row>
    <row r="1995" spans="1:3" x14ac:dyDescent="0.25">
      <c r="A1995" s="46"/>
      <c r="B1995" s="46"/>
      <c r="C1995" s="47"/>
    </row>
    <row r="1996" spans="1:3" x14ac:dyDescent="0.25">
      <c r="A1996" s="46"/>
      <c r="B1996" s="46"/>
      <c r="C1996" s="47"/>
    </row>
    <row r="1997" spans="1:3" x14ac:dyDescent="0.25">
      <c r="A1997" s="46"/>
      <c r="B1997" s="46"/>
      <c r="C1997" s="47"/>
    </row>
    <row r="1998" spans="1:3" x14ac:dyDescent="0.25">
      <c r="A1998" s="46"/>
      <c r="B1998" s="46"/>
      <c r="C1998" s="47"/>
    </row>
    <row r="1999" spans="1:3" x14ac:dyDescent="0.25">
      <c r="A1999" s="46"/>
      <c r="B1999" s="46"/>
      <c r="C1999" s="47"/>
    </row>
    <row r="2000" spans="1:3" x14ac:dyDescent="0.25">
      <c r="A2000" s="46"/>
      <c r="B2000" s="46"/>
      <c r="C2000" s="47"/>
    </row>
    <row r="2001" spans="1:3" x14ac:dyDescent="0.25">
      <c r="A2001" s="46"/>
      <c r="B2001" s="46"/>
      <c r="C2001" s="47"/>
    </row>
    <row r="2002" spans="1:3" x14ac:dyDescent="0.25">
      <c r="A2002" s="46"/>
      <c r="B2002" s="46"/>
      <c r="C2002" s="47"/>
    </row>
    <row r="2003" spans="1:3" x14ac:dyDescent="0.25">
      <c r="A2003" s="46"/>
      <c r="B2003" s="46"/>
      <c r="C2003" s="47"/>
    </row>
    <row r="2004" spans="1:3" x14ac:dyDescent="0.25">
      <c r="A2004" s="46"/>
      <c r="B2004" s="46"/>
      <c r="C2004" s="47"/>
    </row>
    <row r="2005" spans="1:3" x14ac:dyDescent="0.25">
      <c r="A2005" s="46"/>
      <c r="B2005" s="46"/>
      <c r="C2005" s="47"/>
    </row>
    <row r="2006" spans="1:3" x14ac:dyDescent="0.25">
      <c r="A2006" s="46"/>
      <c r="B2006" s="46"/>
      <c r="C2006" s="47"/>
    </row>
    <row r="2007" spans="1:3" x14ac:dyDescent="0.25">
      <c r="A2007" s="46"/>
      <c r="B2007" s="46"/>
      <c r="C2007" s="47"/>
    </row>
    <row r="2008" spans="1:3" x14ac:dyDescent="0.25">
      <c r="A2008" s="46"/>
      <c r="B2008" s="46"/>
      <c r="C2008" s="47"/>
    </row>
    <row r="2009" spans="1:3" x14ac:dyDescent="0.25">
      <c r="A2009" s="46"/>
      <c r="B2009" s="46"/>
      <c r="C2009" s="47"/>
    </row>
    <row r="2010" spans="1:3" x14ac:dyDescent="0.25">
      <c r="A2010" s="46"/>
      <c r="B2010" s="46"/>
      <c r="C2010" s="47"/>
    </row>
    <row r="2011" spans="1:3" x14ac:dyDescent="0.25">
      <c r="A2011" s="46"/>
      <c r="B2011" s="46"/>
      <c r="C2011" s="47"/>
    </row>
    <row r="2012" spans="1:3" x14ac:dyDescent="0.25">
      <c r="A2012" s="46"/>
      <c r="B2012" s="46"/>
      <c r="C2012" s="47"/>
    </row>
    <row r="2013" spans="1:3" x14ac:dyDescent="0.25">
      <c r="A2013" s="46"/>
      <c r="B2013" s="46"/>
      <c r="C2013" s="47"/>
    </row>
    <row r="2014" spans="1:3" x14ac:dyDescent="0.25">
      <c r="A2014" s="46"/>
      <c r="B2014" s="46"/>
      <c r="C2014" s="47"/>
    </row>
    <row r="2015" spans="1:3" x14ac:dyDescent="0.25">
      <c r="A2015" s="46"/>
      <c r="B2015" s="46"/>
      <c r="C2015" s="47"/>
    </row>
    <row r="2016" spans="1:3" x14ac:dyDescent="0.25">
      <c r="A2016" s="46"/>
      <c r="B2016" s="46"/>
      <c r="C2016" s="47"/>
    </row>
    <row r="2017" spans="1:3" x14ac:dyDescent="0.25">
      <c r="A2017" s="46"/>
      <c r="B2017" s="46"/>
      <c r="C2017" s="47"/>
    </row>
    <row r="2018" spans="1:3" x14ac:dyDescent="0.25">
      <c r="A2018" s="46"/>
      <c r="B2018" s="46"/>
      <c r="C2018" s="47"/>
    </row>
    <row r="2019" spans="1:3" x14ac:dyDescent="0.25">
      <c r="A2019" s="46"/>
      <c r="B2019" s="46"/>
      <c r="C2019" s="47"/>
    </row>
    <row r="2020" spans="1:3" x14ac:dyDescent="0.25">
      <c r="A2020" s="46"/>
      <c r="B2020" s="46"/>
      <c r="C2020" s="47"/>
    </row>
    <row r="2021" spans="1:3" x14ac:dyDescent="0.25">
      <c r="A2021" s="46"/>
      <c r="B2021" s="46"/>
      <c r="C2021" s="47"/>
    </row>
    <row r="2022" spans="1:3" x14ac:dyDescent="0.25">
      <c r="A2022" s="46"/>
      <c r="B2022" s="46"/>
      <c r="C2022" s="47"/>
    </row>
    <row r="2023" spans="1:3" x14ac:dyDescent="0.25">
      <c r="A2023" s="46"/>
      <c r="B2023" s="46"/>
      <c r="C2023" s="47"/>
    </row>
    <row r="2024" spans="1:3" x14ac:dyDescent="0.25">
      <c r="A2024" s="46"/>
      <c r="B2024" s="46"/>
      <c r="C2024" s="47"/>
    </row>
    <row r="2025" spans="1:3" x14ac:dyDescent="0.25">
      <c r="A2025" s="46"/>
      <c r="B2025" s="46"/>
      <c r="C2025" s="47"/>
    </row>
    <row r="2026" spans="1:3" x14ac:dyDescent="0.25">
      <c r="A2026" s="46"/>
      <c r="B2026" s="46"/>
      <c r="C2026" s="47"/>
    </row>
    <row r="2027" spans="1:3" x14ac:dyDescent="0.25">
      <c r="A2027" s="46"/>
      <c r="B2027" s="46"/>
      <c r="C2027" s="47"/>
    </row>
    <row r="2028" spans="1:3" x14ac:dyDescent="0.25">
      <c r="A2028" s="46"/>
      <c r="B2028" s="46"/>
      <c r="C2028" s="47"/>
    </row>
    <row r="2029" spans="1:3" x14ac:dyDescent="0.25">
      <c r="A2029" s="46"/>
      <c r="B2029" s="46"/>
      <c r="C2029" s="47"/>
    </row>
    <row r="2030" spans="1:3" x14ac:dyDescent="0.25">
      <c r="A2030" s="46"/>
      <c r="B2030" s="46"/>
      <c r="C2030" s="47"/>
    </row>
    <row r="2031" spans="1:3" x14ac:dyDescent="0.25">
      <c r="A2031" s="46"/>
      <c r="B2031" s="46"/>
      <c r="C2031" s="47"/>
    </row>
    <row r="2032" spans="1:3" x14ac:dyDescent="0.25">
      <c r="A2032" s="46"/>
      <c r="B2032" s="46"/>
      <c r="C2032" s="47"/>
    </row>
    <row r="2033" spans="1:3" x14ac:dyDescent="0.25">
      <c r="A2033" s="46"/>
      <c r="B2033" s="46"/>
      <c r="C2033" s="47"/>
    </row>
    <row r="2034" spans="1:3" x14ac:dyDescent="0.25">
      <c r="A2034" s="46"/>
      <c r="B2034" s="46"/>
      <c r="C2034" s="47"/>
    </row>
    <row r="2035" spans="1:3" x14ac:dyDescent="0.25">
      <c r="A2035" s="46"/>
      <c r="B2035" s="46"/>
      <c r="C2035" s="47"/>
    </row>
    <row r="2036" spans="1:3" x14ac:dyDescent="0.25">
      <c r="A2036" s="46"/>
      <c r="B2036" s="46"/>
      <c r="C2036" s="47"/>
    </row>
    <row r="2037" spans="1:3" x14ac:dyDescent="0.25">
      <c r="A2037" s="46"/>
      <c r="B2037" s="46"/>
      <c r="C2037" s="47"/>
    </row>
    <row r="2038" spans="1:3" x14ac:dyDescent="0.25">
      <c r="A2038" s="46"/>
      <c r="B2038" s="46"/>
      <c r="C2038" s="47"/>
    </row>
    <row r="2039" spans="1:3" x14ac:dyDescent="0.25">
      <c r="A2039" s="46"/>
      <c r="B2039" s="46"/>
      <c r="C2039" s="47"/>
    </row>
    <row r="2040" spans="1:3" x14ac:dyDescent="0.25">
      <c r="A2040" s="46"/>
      <c r="B2040" s="46"/>
      <c r="C2040" s="47"/>
    </row>
    <row r="2041" spans="1:3" x14ac:dyDescent="0.25">
      <c r="A2041" s="46"/>
      <c r="B2041" s="46"/>
      <c r="C2041" s="47"/>
    </row>
    <row r="2042" spans="1:3" x14ac:dyDescent="0.25">
      <c r="A2042" s="46"/>
      <c r="B2042" s="46"/>
      <c r="C2042" s="47"/>
    </row>
    <row r="2043" spans="1:3" x14ac:dyDescent="0.25">
      <c r="A2043" s="46"/>
      <c r="B2043" s="46"/>
      <c r="C2043" s="47"/>
    </row>
    <row r="2044" spans="1:3" x14ac:dyDescent="0.25">
      <c r="A2044" s="46"/>
      <c r="B2044" s="46"/>
      <c r="C2044" s="47"/>
    </row>
    <row r="2045" spans="1:3" x14ac:dyDescent="0.25">
      <c r="A2045" s="46"/>
      <c r="B2045" s="46"/>
      <c r="C2045" s="47"/>
    </row>
    <row r="2046" spans="1:3" x14ac:dyDescent="0.25">
      <c r="A2046" s="46"/>
      <c r="B2046" s="46"/>
      <c r="C2046" s="47"/>
    </row>
    <row r="2047" spans="1:3" x14ac:dyDescent="0.25">
      <c r="A2047" s="46"/>
      <c r="B2047" s="46"/>
      <c r="C2047" s="47"/>
    </row>
    <row r="2048" spans="1:3" x14ac:dyDescent="0.25">
      <c r="A2048" s="46"/>
      <c r="B2048" s="46"/>
      <c r="C2048" s="47"/>
    </row>
    <row r="2049" spans="1:3" x14ac:dyDescent="0.25">
      <c r="A2049" s="46"/>
      <c r="B2049" s="46"/>
      <c r="C2049" s="47"/>
    </row>
    <row r="2050" spans="1:3" x14ac:dyDescent="0.25">
      <c r="A2050" s="46"/>
      <c r="B2050" s="46"/>
      <c r="C2050" s="47"/>
    </row>
    <row r="2051" spans="1:3" x14ac:dyDescent="0.25">
      <c r="A2051" s="46"/>
      <c r="B2051" s="46"/>
      <c r="C2051" s="47"/>
    </row>
    <row r="2052" spans="1:3" x14ac:dyDescent="0.25">
      <c r="A2052" s="46"/>
      <c r="B2052" s="46"/>
      <c r="C2052" s="47"/>
    </row>
    <row r="2053" spans="1:3" x14ac:dyDescent="0.25">
      <c r="A2053" s="46"/>
      <c r="B2053" s="46"/>
      <c r="C2053" s="47"/>
    </row>
    <row r="2054" spans="1:3" x14ac:dyDescent="0.25">
      <c r="A2054" s="46"/>
      <c r="B2054" s="46"/>
      <c r="C2054" s="47"/>
    </row>
    <row r="2055" spans="1:3" x14ac:dyDescent="0.25">
      <c r="A2055" s="46"/>
      <c r="B2055" s="46"/>
      <c r="C2055" s="47"/>
    </row>
    <row r="2056" spans="1:3" x14ac:dyDescent="0.25">
      <c r="A2056" s="46"/>
      <c r="B2056" s="46"/>
      <c r="C2056" s="47"/>
    </row>
    <row r="2057" spans="1:3" x14ac:dyDescent="0.25">
      <c r="A2057" s="46"/>
      <c r="B2057" s="46"/>
      <c r="C2057" s="47"/>
    </row>
    <row r="2058" spans="1:3" x14ac:dyDescent="0.25">
      <c r="A2058" s="46"/>
      <c r="B2058" s="46"/>
      <c r="C2058" s="47"/>
    </row>
    <row r="2059" spans="1:3" x14ac:dyDescent="0.25">
      <c r="A2059" s="46"/>
      <c r="B2059" s="46"/>
      <c r="C2059" s="47"/>
    </row>
    <row r="2060" spans="1:3" x14ac:dyDescent="0.25">
      <c r="A2060" s="46"/>
      <c r="B2060" s="46"/>
      <c r="C2060" s="47"/>
    </row>
    <row r="2061" spans="1:3" x14ac:dyDescent="0.25">
      <c r="A2061" s="46"/>
      <c r="B2061" s="46"/>
      <c r="C2061" s="47"/>
    </row>
    <row r="2062" spans="1:3" x14ac:dyDescent="0.25">
      <c r="A2062" s="46"/>
      <c r="B2062" s="46"/>
      <c r="C2062" s="47"/>
    </row>
    <row r="2063" spans="1:3" x14ac:dyDescent="0.25">
      <c r="A2063" s="46"/>
      <c r="B2063" s="46"/>
      <c r="C2063" s="47"/>
    </row>
    <row r="2064" spans="1:3" x14ac:dyDescent="0.25">
      <c r="A2064" s="46"/>
      <c r="B2064" s="46"/>
      <c r="C2064" s="47"/>
    </row>
    <row r="2065" spans="1:3" x14ac:dyDescent="0.25">
      <c r="A2065" s="46"/>
      <c r="B2065" s="46"/>
      <c r="C2065" s="47"/>
    </row>
    <row r="2066" spans="1:3" x14ac:dyDescent="0.25">
      <c r="A2066" s="46"/>
      <c r="B2066" s="46"/>
      <c r="C2066" s="47"/>
    </row>
    <row r="2067" spans="1:3" x14ac:dyDescent="0.25">
      <c r="A2067" s="46"/>
      <c r="B2067" s="46"/>
      <c r="C2067" s="47"/>
    </row>
    <row r="2068" spans="1:3" x14ac:dyDescent="0.25">
      <c r="A2068" s="46"/>
      <c r="B2068" s="46"/>
      <c r="C2068" s="47"/>
    </row>
    <row r="2069" spans="1:3" x14ac:dyDescent="0.25">
      <c r="A2069" s="46"/>
      <c r="B2069" s="46"/>
      <c r="C2069" s="47"/>
    </row>
    <row r="2070" spans="1:3" x14ac:dyDescent="0.25">
      <c r="A2070" s="46"/>
      <c r="B2070" s="46"/>
      <c r="C2070" s="47"/>
    </row>
    <row r="2071" spans="1:3" x14ac:dyDescent="0.25">
      <c r="A2071" s="46"/>
      <c r="B2071" s="46"/>
      <c r="C2071" s="47"/>
    </row>
    <row r="2072" spans="1:3" x14ac:dyDescent="0.25">
      <c r="A2072" s="46"/>
      <c r="B2072" s="46"/>
      <c r="C2072" s="47"/>
    </row>
    <row r="2073" spans="1:3" x14ac:dyDescent="0.25">
      <c r="A2073" s="46"/>
      <c r="B2073" s="46"/>
      <c r="C2073" s="47"/>
    </row>
    <row r="2074" spans="1:3" x14ac:dyDescent="0.25">
      <c r="A2074" s="46"/>
      <c r="B2074" s="46"/>
      <c r="C2074" s="47"/>
    </row>
    <row r="2075" spans="1:3" x14ac:dyDescent="0.25">
      <c r="A2075" s="46"/>
      <c r="B2075" s="46"/>
      <c r="C2075" s="47"/>
    </row>
    <row r="2076" spans="1:3" x14ac:dyDescent="0.25">
      <c r="A2076" s="46"/>
      <c r="B2076" s="46"/>
      <c r="C2076" s="47"/>
    </row>
    <row r="2077" spans="1:3" x14ac:dyDescent="0.25">
      <c r="A2077" s="46"/>
      <c r="B2077" s="46"/>
      <c r="C2077" s="47"/>
    </row>
    <row r="2078" spans="1:3" x14ac:dyDescent="0.25">
      <c r="A2078" s="46"/>
      <c r="B2078" s="46"/>
      <c r="C2078" s="47"/>
    </row>
    <row r="2079" spans="1:3" x14ac:dyDescent="0.25">
      <c r="A2079" s="46"/>
      <c r="B2079" s="46"/>
      <c r="C2079" s="47"/>
    </row>
    <row r="2080" spans="1:3" x14ac:dyDescent="0.25">
      <c r="A2080" s="46"/>
      <c r="B2080" s="46"/>
      <c r="C2080" s="47"/>
    </row>
    <row r="2081" spans="1:3" x14ac:dyDescent="0.25">
      <c r="A2081" s="46"/>
      <c r="B2081" s="46"/>
      <c r="C2081" s="47"/>
    </row>
    <row r="2082" spans="1:3" x14ac:dyDescent="0.25">
      <c r="A2082" s="46"/>
      <c r="B2082" s="46"/>
      <c r="C2082" s="47"/>
    </row>
    <row r="2083" spans="1:3" x14ac:dyDescent="0.25">
      <c r="A2083" s="46"/>
      <c r="B2083" s="46"/>
      <c r="C2083" s="47"/>
    </row>
    <row r="2084" spans="1:3" x14ac:dyDescent="0.25">
      <c r="A2084" s="46"/>
      <c r="B2084" s="46"/>
      <c r="C2084" s="47"/>
    </row>
    <row r="2085" spans="1:3" x14ac:dyDescent="0.25">
      <c r="A2085" s="46"/>
      <c r="B2085" s="46"/>
      <c r="C2085" s="47"/>
    </row>
    <row r="2086" spans="1:3" x14ac:dyDescent="0.25">
      <c r="A2086" s="46"/>
      <c r="B2086" s="46"/>
      <c r="C2086" s="47"/>
    </row>
    <row r="2087" spans="1:3" x14ac:dyDescent="0.25">
      <c r="A2087" s="46"/>
      <c r="B2087" s="46"/>
      <c r="C2087" s="47"/>
    </row>
    <row r="2088" spans="1:3" x14ac:dyDescent="0.25">
      <c r="A2088" s="46"/>
      <c r="B2088" s="46"/>
      <c r="C2088" s="47"/>
    </row>
    <row r="2089" spans="1:3" x14ac:dyDescent="0.25">
      <c r="A2089" s="46"/>
      <c r="B2089" s="46"/>
      <c r="C2089" s="47"/>
    </row>
    <row r="2090" spans="1:3" x14ac:dyDescent="0.25">
      <c r="A2090" s="46"/>
      <c r="B2090" s="46"/>
      <c r="C2090" s="47"/>
    </row>
    <row r="2091" spans="1:3" x14ac:dyDescent="0.25">
      <c r="A2091" s="46"/>
      <c r="B2091" s="46"/>
      <c r="C2091" s="47"/>
    </row>
    <row r="2092" spans="1:3" x14ac:dyDescent="0.25">
      <c r="A2092" s="46"/>
      <c r="B2092" s="46"/>
      <c r="C2092" s="47"/>
    </row>
    <row r="2093" spans="1:3" x14ac:dyDescent="0.25">
      <c r="A2093" s="46"/>
      <c r="B2093" s="46"/>
      <c r="C2093" s="47"/>
    </row>
    <row r="2094" spans="1:3" x14ac:dyDescent="0.25">
      <c r="A2094" s="46"/>
      <c r="B2094" s="46"/>
      <c r="C2094" s="47"/>
    </row>
    <row r="2095" spans="1:3" x14ac:dyDescent="0.25">
      <c r="A2095" s="46"/>
      <c r="B2095" s="46"/>
      <c r="C2095" s="47"/>
    </row>
    <row r="2096" spans="1:3" x14ac:dyDescent="0.25">
      <c r="A2096" s="46"/>
      <c r="B2096" s="46"/>
      <c r="C2096" s="47"/>
    </row>
    <row r="2097" spans="1:3" x14ac:dyDescent="0.25">
      <c r="A2097" s="46"/>
      <c r="B2097" s="46"/>
      <c r="C2097" s="47"/>
    </row>
    <row r="2098" spans="1:3" x14ac:dyDescent="0.25">
      <c r="A2098" s="46"/>
      <c r="B2098" s="46"/>
      <c r="C2098" s="47"/>
    </row>
    <row r="2099" spans="1:3" x14ac:dyDescent="0.25">
      <c r="A2099" s="46"/>
      <c r="B2099" s="46"/>
      <c r="C2099" s="47"/>
    </row>
    <row r="2100" spans="1:3" x14ac:dyDescent="0.25">
      <c r="A2100" s="46"/>
      <c r="B2100" s="46"/>
      <c r="C2100" s="47"/>
    </row>
    <row r="2101" spans="1:3" x14ac:dyDescent="0.25">
      <c r="A2101" s="46"/>
      <c r="B2101" s="46"/>
      <c r="C2101" s="47"/>
    </row>
    <row r="2102" spans="1:3" x14ac:dyDescent="0.25">
      <c r="A2102" s="46"/>
      <c r="B2102" s="46"/>
      <c r="C2102" s="47"/>
    </row>
    <row r="2103" spans="1:3" x14ac:dyDescent="0.25">
      <c r="A2103" s="46"/>
      <c r="B2103" s="46"/>
      <c r="C2103" s="47"/>
    </row>
    <row r="2104" spans="1:3" x14ac:dyDescent="0.25">
      <c r="A2104" s="46"/>
      <c r="B2104" s="46"/>
      <c r="C2104" s="47"/>
    </row>
    <row r="2105" spans="1:3" x14ac:dyDescent="0.25">
      <c r="A2105" s="46"/>
      <c r="B2105" s="46"/>
      <c r="C2105" s="47"/>
    </row>
    <row r="2106" spans="1:3" x14ac:dyDescent="0.25">
      <c r="A2106" s="46"/>
      <c r="B2106" s="46"/>
      <c r="C2106" s="47"/>
    </row>
    <row r="2107" spans="1:3" x14ac:dyDescent="0.25">
      <c r="A2107" s="46"/>
      <c r="B2107" s="46"/>
      <c r="C2107" s="47"/>
    </row>
    <row r="2108" spans="1:3" x14ac:dyDescent="0.25">
      <c r="A2108" s="46"/>
      <c r="B2108" s="46"/>
      <c r="C2108" s="47"/>
    </row>
    <row r="2109" spans="1:3" x14ac:dyDescent="0.25">
      <c r="A2109" s="46"/>
      <c r="B2109" s="46"/>
      <c r="C2109" s="47"/>
    </row>
    <row r="2110" spans="1:3" x14ac:dyDescent="0.25">
      <c r="A2110" s="46"/>
      <c r="B2110" s="46"/>
      <c r="C2110" s="47"/>
    </row>
    <row r="2111" spans="1:3" x14ac:dyDescent="0.25">
      <c r="A2111" s="46"/>
      <c r="B2111" s="46"/>
      <c r="C2111" s="47"/>
    </row>
    <row r="2112" spans="1:3" x14ac:dyDescent="0.25">
      <c r="A2112" s="46"/>
      <c r="B2112" s="46"/>
      <c r="C2112" s="47"/>
    </row>
    <row r="2113" spans="1:3" x14ac:dyDescent="0.25">
      <c r="A2113" s="46"/>
      <c r="B2113" s="46"/>
      <c r="C2113" s="47"/>
    </row>
    <row r="2114" spans="1:3" x14ac:dyDescent="0.25">
      <c r="A2114" s="46"/>
      <c r="B2114" s="46"/>
      <c r="C2114" s="47"/>
    </row>
    <row r="2115" spans="1:3" x14ac:dyDescent="0.25">
      <c r="A2115" s="46"/>
      <c r="B2115" s="46"/>
      <c r="C2115" s="47"/>
    </row>
    <row r="2116" spans="1:3" x14ac:dyDescent="0.25">
      <c r="A2116" s="46"/>
      <c r="B2116" s="46"/>
      <c r="C2116" s="47"/>
    </row>
    <row r="2117" spans="1:3" x14ac:dyDescent="0.25">
      <c r="A2117" s="46"/>
      <c r="B2117" s="46"/>
      <c r="C2117" s="47"/>
    </row>
    <row r="2118" spans="1:3" x14ac:dyDescent="0.25">
      <c r="A2118" s="46"/>
      <c r="B2118" s="46"/>
      <c r="C2118" s="47"/>
    </row>
    <row r="2119" spans="1:3" x14ac:dyDescent="0.25">
      <c r="A2119" s="46"/>
      <c r="B2119" s="46"/>
      <c r="C2119" s="47"/>
    </row>
    <row r="2120" spans="1:3" x14ac:dyDescent="0.25">
      <c r="A2120" s="46"/>
      <c r="B2120" s="46"/>
      <c r="C2120" s="47"/>
    </row>
    <row r="2121" spans="1:3" x14ac:dyDescent="0.25">
      <c r="A2121" s="46"/>
      <c r="B2121" s="46"/>
      <c r="C2121" s="47"/>
    </row>
    <row r="2122" spans="1:3" x14ac:dyDescent="0.25">
      <c r="A2122" s="46"/>
      <c r="B2122" s="46"/>
      <c r="C2122" s="47"/>
    </row>
    <row r="2123" spans="1:3" x14ac:dyDescent="0.25">
      <c r="A2123" s="46"/>
      <c r="B2123" s="46"/>
      <c r="C2123" s="47"/>
    </row>
    <row r="2124" spans="1:3" x14ac:dyDescent="0.25">
      <c r="A2124" s="46"/>
      <c r="B2124" s="46"/>
      <c r="C2124" s="47"/>
    </row>
    <row r="2125" spans="1:3" x14ac:dyDescent="0.25">
      <c r="A2125" s="46"/>
      <c r="B2125" s="46"/>
      <c r="C2125" s="47"/>
    </row>
    <row r="2126" spans="1:3" x14ac:dyDescent="0.25">
      <c r="A2126" s="46"/>
      <c r="B2126" s="46"/>
      <c r="C2126" s="47"/>
    </row>
    <row r="2127" spans="1:3" x14ac:dyDescent="0.25">
      <c r="A2127" s="46"/>
      <c r="B2127" s="46"/>
      <c r="C2127" s="47"/>
    </row>
    <row r="2128" spans="1:3" x14ac:dyDescent="0.25">
      <c r="A2128" s="46"/>
      <c r="B2128" s="46"/>
      <c r="C2128" s="47"/>
    </row>
    <row r="2129" spans="1:3" x14ac:dyDescent="0.25">
      <c r="A2129" s="46"/>
      <c r="B2129" s="46"/>
      <c r="C2129" s="47"/>
    </row>
    <row r="2130" spans="1:3" x14ac:dyDescent="0.25">
      <c r="A2130" s="46"/>
      <c r="B2130" s="46"/>
      <c r="C2130" s="47"/>
    </row>
    <row r="2131" spans="1:3" x14ac:dyDescent="0.25">
      <c r="A2131" s="46"/>
      <c r="B2131" s="46"/>
      <c r="C2131" s="47"/>
    </row>
    <row r="2132" spans="1:3" x14ac:dyDescent="0.25">
      <c r="A2132" s="46"/>
      <c r="B2132" s="46"/>
      <c r="C2132" s="47"/>
    </row>
    <row r="2133" spans="1:3" x14ac:dyDescent="0.25">
      <c r="A2133" s="46"/>
      <c r="B2133" s="46"/>
      <c r="C2133" s="47"/>
    </row>
    <row r="2134" spans="1:3" x14ac:dyDescent="0.25">
      <c r="A2134" s="46"/>
      <c r="B2134" s="46"/>
      <c r="C2134" s="47"/>
    </row>
    <row r="2135" spans="1:3" x14ac:dyDescent="0.25">
      <c r="A2135" s="46"/>
      <c r="B2135" s="46"/>
      <c r="C2135" s="47"/>
    </row>
    <row r="2136" spans="1:3" x14ac:dyDescent="0.25">
      <c r="A2136" s="46"/>
      <c r="B2136" s="46"/>
      <c r="C2136" s="47"/>
    </row>
    <row r="2137" spans="1:3" x14ac:dyDescent="0.25">
      <c r="A2137" s="46"/>
      <c r="B2137" s="46"/>
      <c r="C2137" s="47"/>
    </row>
    <row r="2138" spans="1:3" x14ac:dyDescent="0.25">
      <c r="A2138" s="46"/>
      <c r="B2138" s="46"/>
      <c r="C2138" s="47"/>
    </row>
    <row r="2139" spans="1:3" x14ac:dyDescent="0.25">
      <c r="A2139" s="46"/>
      <c r="B2139" s="46"/>
      <c r="C2139" s="47"/>
    </row>
    <row r="2140" spans="1:3" x14ac:dyDescent="0.25">
      <c r="A2140" s="46"/>
      <c r="B2140" s="46"/>
      <c r="C2140" s="47"/>
    </row>
    <row r="2141" spans="1:3" x14ac:dyDescent="0.25">
      <c r="A2141" s="46"/>
      <c r="B2141" s="46"/>
      <c r="C2141" s="47"/>
    </row>
    <row r="2142" spans="1:3" x14ac:dyDescent="0.25">
      <c r="A2142" s="46"/>
      <c r="B2142" s="46"/>
      <c r="C2142" s="47"/>
    </row>
    <row r="2143" spans="1:3" x14ac:dyDescent="0.25">
      <c r="A2143" s="46"/>
      <c r="B2143" s="46"/>
      <c r="C2143" s="47"/>
    </row>
    <row r="2144" spans="1:3" x14ac:dyDescent="0.25">
      <c r="A2144" s="46"/>
      <c r="B2144" s="46"/>
      <c r="C2144" s="47"/>
    </row>
    <row r="2145" spans="1:3" x14ac:dyDescent="0.25">
      <c r="A2145" s="46"/>
      <c r="B2145" s="46"/>
      <c r="C2145" s="47"/>
    </row>
    <row r="2146" spans="1:3" x14ac:dyDescent="0.25">
      <c r="A2146" s="46"/>
      <c r="B2146" s="46"/>
      <c r="C2146" s="47"/>
    </row>
    <row r="2147" spans="1:3" x14ac:dyDescent="0.25">
      <c r="A2147" s="46"/>
      <c r="B2147" s="46"/>
      <c r="C2147" s="47"/>
    </row>
    <row r="2148" spans="1:3" x14ac:dyDescent="0.25">
      <c r="A2148" s="46"/>
      <c r="B2148" s="46"/>
      <c r="C2148" s="47"/>
    </row>
    <row r="2149" spans="1:3" x14ac:dyDescent="0.25">
      <c r="A2149" s="46"/>
      <c r="B2149" s="46"/>
      <c r="C2149" s="47"/>
    </row>
    <row r="2150" spans="1:3" x14ac:dyDescent="0.25">
      <c r="A2150" s="46"/>
      <c r="B2150" s="46"/>
      <c r="C2150" s="47"/>
    </row>
    <row r="2151" spans="1:3" x14ac:dyDescent="0.25">
      <c r="A2151" s="46"/>
      <c r="B2151" s="46"/>
      <c r="C2151" s="47"/>
    </row>
    <row r="2152" spans="1:3" x14ac:dyDescent="0.25">
      <c r="A2152" s="46"/>
      <c r="B2152" s="46"/>
      <c r="C2152" s="47"/>
    </row>
    <row r="2153" spans="1:3" x14ac:dyDescent="0.25">
      <c r="A2153" s="46"/>
      <c r="B2153" s="46"/>
      <c r="C2153" s="47"/>
    </row>
    <row r="2154" spans="1:3" x14ac:dyDescent="0.25">
      <c r="A2154" s="46"/>
      <c r="B2154" s="46"/>
      <c r="C2154" s="47"/>
    </row>
    <row r="2155" spans="1:3" x14ac:dyDescent="0.25">
      <c r="A2155" s="46"/>
      <c r="B2155" s="46"/>
      <c r="C2155" s="47"/>
    </row>
    <row r="2156" spans="1:3" x14ac:dyDescent="0.25">
      <c r="A2156" s="46"/>
      <c r="B2156" s="46"/>
      <c r="C2156" s="47"/>
    </row>
    <row r="2157" spans="1:3" x14ac:dyDescent="0.25">
      <c r="A2157" s="46"/>
      <c r="B2157" s="46"/>
      <c r="C2157" s="47"/>
    </row>
    <row r="2158" spans="1:3" x14ac:dyDescent="0.25">
      <c r="A2158" s="46"/>
      <c r="B2158" s="46"/>
      <c r="C2158" s="47"/>
    </row>
    <row r="2159" spans="1:3" x14ac:dyDescent="0.25">
      <c r="A2159" s="46"/>
      <c r="B2159" s="46"/>
      <c r="C2159" s="47"/>
    </row>
    <row r="2160" spans="1:3" x14ac:dyDescent="0.25">
      <c r="A2160" s="46"/>
      <c r="B2160" s="46"/>
      <c r="C2160" s="47"/>
    </row>
    <row r="2161" spans="1:3" x14ac:dyDescent="0.25">
      <c r="A2161" s="46"/>
      <c r="B2161" s="46"/>
      <c r="C2161" s="47"/>
    </row>
    <row r="2162" spans="1:3" x14ac:dyDescent="0.25">
      <c r="A2162" s="46"/>
      <c r="B2162" s="46"/>
      <c r="C2162" s="47"/>
    </row>
    <row r="2163" spans="1:3" x14ac:dyDescent="0.25">
      <c r="A2163" s="46"/>
      <c r="B2163" s="46"/>
      <c r="C2163" s="47"/>
    </row>
    <row r="2164" spans="1:3" x14ac:dyDescent="0.25">
      <c r="A2164" s="46"/>
      <c r="B2164" s="46"/>
      <c r="C2164" s="47"/>
    </row>
    <row r="2165" spans="1:3" x14ac:dyDescent="0.25">
      <c r="A2165" s="46"/>
      <c r="B2165" s="46"/>
      <c r="C2165" s="47"/>
    </row>
    <row r="2166" spans="1:3" x14ac:dyDescent="0.25">
      <c r="A2166" s="46"/>
      <c r="B2166" s="46"/>
      <c r="C2166" s="47"/>
    </row>
    <row r="2167" spans="1:3" x14ac:dyDescent="0.25">
      <c r="A2167" s="46"/>
      <c r="B2167" s="46"/>
      <c r="C2167" s="47"/>
    </row>
    <row r="2168" spans="1:3" x14ac:dyDescent="0.25">
      <c r="A2168" s="46"/>
      <c r="B2168" s="46"/>
      <c r="C2168" s="47"/>
    </row>
    <row r="2169" spans="1:3" x14ac:dyDescent="0.25">
      <c r="A2169" s="46"/>
      <c r="B2169" s="46"/>
      <c r="C2169" s="47"/>
    </row>
    <row r="2170" spans="1:3" x14ac:dyDescent="0.25">
      <c r="A2170" s="46"/>
      <c r="B2170" s="46"/>
      <c r="C2170" s="47"/>
    </row>
    <row r="2171" spans="1:3" x14ac:dyDescent="0.25">
      <c r="A2171" s="46"/>
      <c r="B2171" s="46"/>
      <c r="C2171" s="47"/>
    </row>
    <row r="2172" spans="1:3" x14ac:dyDescent="0.25">
      <c r="A2172" s="46"/>
      <c r="B2172" s="46"/>
      <c r="C2172" s="47"/>
    </row>
    <row r="2173" spans="1:3" x14ac:dyDescent="0.25">
      <c r="A2173" s="46"/>
      <c r="B2173" s="46"/>
      <c r="C2173" s="47"/>
    </row>
    <row r="2174" spans="1:3" x14ac:dyDescent="0.25">
      <c r="A2174" s="46"/>
      <c r="B2174" s="46"/>
      <c r="C2174" s="47"/>
    </row>
    <row r="2175" spans="1:3" x14ac:dyDescent="0.25">
      <c r="A2175" s="46"/>
      <c r="B2175" s="46"/>
      <c r="C2175" s="47"/>
    </row>
    <row r="2176" spans="1:3" x14ac:dyDescent="0.25">
      <c r="A2176" s="46"/>
      <c r="B2176" s="46"/>
      <c r="C2176" s="47"/>
    </row>
    <row r="2177" spans="1:3" x14ac:dyDescent="0.25">
      <c r="A2177" s="46"/>
      <c r="B2177" s="46"/>
      <c r="C2177" s="47"/>
    </row>
    <row r="2178" spans="1:3" x14ac:dyDescent="0.25">
      <c r="A2178" s="46"/>
      <c r="B2178" s="46"/>
      <c r="C2178" s="47"/>
    </row>
    <row r="2179" spans="1:3" x14ac:dyDescent="0.25">
      <c r="A2179" s="46"/>
      <c r="B2179" s="46"/>
      <c r="C2179" s="47"/>
    </row>
    <row r="2180" spans="1:3" x14ac:dyDescent="0.25">
      <c r="A2180" s="46"/>
      <c r="B2180" s="46"/>
      <c r="C2180" s="47"/>
    </row>
    <row r="2181" spans="1:3" x14ac:dyDescent="0.25">
      <c r="A2181" s="46"/>
      <c r="B2181" s="46"/>
      <c r="C2181" s="47"/>
    </row>
    <row r="2182" spans="1:3" x14ac:dyDescent="0.25">
      <c r="A2182" s="46"/>
      <c r="B2182" s="46"/>
      <c r="C2182" s="47"/>
    </row>
    <row r="2183" spans="1:3" x14ac:dyDescent="0.25">
      <c r="A2183" s="46"/>
      <c r="B2183" s="46"/>
      <c r="C2183" s="47"/>
    </row>
    <row r="2184" spans="1:3" x14ac:dyDescent="0.25">
      <c r="A2184" s="46"/>
      <c r="B2184" s="46"/>
      <c r="C2184" s="47"/>
    </row>
    <row r="2185" spans="1:3" x14ac:dyDescent="0.25">
      <c r="A2185" s="46"/>
      <c r="B2185" s="46"/>
      <c r="C2185" s="47"/>
    </row>
    <row r="2186" spans="1:3" x14ac:dyDescent="0.25">
      <c r="A2186" s="46"/>
      <c r="B2186" s="46"/>
      <c r="C2186" s="47"/>
    </row>
    <row r="2187" spans="1:3" x14ac:dyDescent="0.25">
      <c r="A2187" s="46"/>
      <c r="B2187" s="46"/>
      <c r="C2187" s="47"/>
    </row>
    <row r="2188" spans="1:3" x14ac:dyDescent="0.25">
      <c r="A2188" s="46"/>
      <c r="B2188" s="46"/>
      <c r="C2188" s="47"/>
    </row>
    <row r="2189" spans="1:3" x14ac:dyDescent="0.25">
      <c r="A2189" s="46"/>
      <c r="B2189" s="46"/>
      <c r="C2189" s="47"/>
    </row>
    <row r="2190" spans="1:3" x14ac:dyDescent="0.25">
      <c r="A2190" s="46"/>
      <c r="B2190" s="46"/>
      <c r="C2190" s="47"/>
    </row>
    <row r="2191" spans="1:3" x14ac:dyDescent="0.25">
      <c r="A2191" s="46"/>
      <c r="B2191" s="46"/>
      <c r="C2191" s="47"/>
    </row>
    <row r="2192" spans="1:3" x14ac:dyDescent="0.25">
      <c r="A2192" s="46"/>
      <c r="B2192" s="46"/>
      <c r="C2192" s="47"/>
    </row>
    <row r="2193" spans="1:3" x14ac:dyDescent="0.25">
      <c r="A2193" s="46"/>
      <c r="B2193" s="46"/>
      <c r="C2193" s="47"/>
    </row>
    <row r="2194" spans="1:3" x14ac:dyDescent="0.25">
      <c r="A2194" s="46"/>
      <c r="B2194" s="46"/>
      <c r="C2194" s="47"/>
    </row>
    <row r="2195" spans="1:3" x14ac:dyDescent="0.25">
      <c r="A2195" s="46"/>
      <c r="B2195" s="46"/>
      <c r="C2195" s="47"/>
    </row>
    <row r="2196" spans="1:3" x14ac:dyDescent="0.25">
      <c r="A2196" s="46"/>
      <c r="B2196" s="46"/>
      <c r="C2196" s="47"/>
    </row>
    <row r="2197" spans="1:3" x14ac:dyDescent="0.25">
      <c r="A2197" s="46"/>
      <c r="B2197" s="46"/>
      <c r="C2197" s="47"/>
    </row>
    <row r="2198" spans="1:3" x14ac:dyDescent="0.25">
      <c r="A2198" s="46"/>
      <c r="B2198" s="46"/>
      <c r="C2198" s="47"/>
    </row>
    <row r="2199" spans="1:3" x14ac:dyDescent="0.25">
      <c r="A2199" s="46"/>
      <c r="B2199" s="46"/>
      <c r="C2199" s="47"/>
    </row>
    <row r="2200" spans="1:3" x14ac:dyDescent="0.25">
      <c r="A2200" s="46"/>
      <c r="B2200" s="46"/>
      <c r="C2200" s="47"/>
    </row>
    <row r="2201" spans="1:3" x14ac:dyDescent="0.25">
      <c r="A2201" s="46"/>
      <c r="B2201" s="46"/>
      <c r="C2201" s="47"/>
    </row>
    <row r="2202" spans="1:3" x14ac:dyDescent="0.25">
      <c r="A2202" s="46"/>
      <c r="B2202" s="46"/>
      <c r="C2202" s="47"/>
    </row>
    <row r="2203" spans="1:3" x14ac:dyDescent="0.25">
      <c r="A2203" s="46"/>
      <c r="B2203" s="46"/>
      <c r="C2203" s="47"/>
    </row>
    <row r="2204" spans="1:3" x14ac:dyDescent="0.25">
      <c r="A2204" s="46"/>
      <c r="B2204" s="46"/>
      <c r="C2204" s="47"/>
    </row>
    <row r="2205" spans="1:3" x14ac:dyDescent="0.25">
      <c r="A2205" s="46"/>
      <c r="B2205" s="46"/>
      <c r="C2205" s="47"/>
    </row>
    <row r="2206" spans="1:3" x14ac:dyDescent="0.25">
      <c r="A2206" s="46"/>
      <c r="B2206" s="46"/>
      <c r="C2206" s="47"/>
    </row>
    <row r="2207" spans="1:3" x14ac:dyDescent="0.25">
      <c r="A2207" s="46"/>
      <c r="B2207" s="46"/>
      <c r="C2207" s="47"/>
    </row>
    <row r="2208" spans="1:3" x14ac:dyDescent="0.25">
      <c r="A2208" s="46"/>
      <c r="B2208" s="46"/>
      <c r="C2208" s="47"/>
    </row>
    <row r="2209" spans="1:3" x14ac:dyDescent="0.25">
      <c r="A2209" s="46"/>
      <c r="B2209" s="46"/>
      <c r="C2209" s="47"/>
    </row>
    <row r="2210" spans="1:3" x14ac:dyDescent="0.25">
      <c r="A2210" s="46"/>
      <c r="B2210" s="46"/>
      <c r="C2210" s="47"/>
    </row>
    <row r="2211" spans="1:3" x14ac:dyDescent="0.25">
      <c r="A2211" s="46"/>
      <c r="B2211" s="46"/>
      <c r="C2211" s="47"/>
    </row>
    <row r="2212" spans="1:3" x14ac:dyDescent="0.25">
      <c r="A2212" s="46"/>
      <c r="B2212" s="46"/>
      <c r="C2212" s="47"/>
    </row>
    <row r="2213" spans="1:3" x14ac:dyDescent="0.25">
      <c r="A2213" s="46"/>
      <c r="B2213" s="46"/>
      <c r="C2213" s="47"/>
    </row>
    <row r="2214" spans="1:3" x14ac:dyDescent="0.25">
      <c r="A2214" s="46"/>
      <c r="B2214" s="46"/>
      <c r="C2214" s="47"/>
    </row>
    <row r="2215" spans="1:3" x14ac:dyDescent="0.25">
      <c r="A2215" s="46"/>
      <c r="B2215" s="46"/>
      <c r="C2215" s="47"/>
    </row>
    <row r="2216" spans="1:3" x14ac:dyDescent="0.25">
      <c r="A2216" s="46"/>
      <c r="B2216" s="46"/>
      <c r="C2216" s="47"/>
    </row>
    <row r="2217" spans="1:3" x14ac:dyDescent="0.25">
      <c r="A2217" s="46"/>
      <c r="B2217" s="46"/>
      <c r="C2217" s="47"/>
    </row>
    <row r="2218" spans="1:3" x14ac:dyDescent="0.25">
      <c r="A2218" s="46"/>
      <c r="B2218" s="46"/>
      <c r="C2218" s="47"/>
    </row>
    <row r="2219" spans="1:3" x14ac:dyDescent="0.25">
      <c r="A2219" s="46"/>
      <c r="B2219" s="46"/>
      <c r="C2219" s="47"/>
    </row>
    <row r="2220" spans="1:3" x14ac:dyDescent="0.25">
      <c r="A2220" s="46"/>
      <c r="B2220" s="46"/>
      <c r="C2220" s="47"/>
    </row>
    <row r="2221" spans="1:3" x14ac:dyDescent="0.25">
      <c r="A2221" s="46"/>
      <c r="B2221" s="46"/>
      <c r="C2221" s="47"/>
    </row>
    <row r="2222" spans="1:3" x14ac:dyDescent="0.25">
      <c r="A2222" s="46"/>
      <c r="B2222" s="46"/>
      <c r="C2222" s="47"/>
    </row>
    <row r="2223" spans="1:3" x14ac:dyDescent="0.25">
      <c r="A2223" s="46"/>
      <c r="B2223" s="46"/>
      <c r="C2223" s="47"/>
    </row>
    <row r="2224" spans="1:3" x14ac:dyDescent="0.25">
      <c r="A2224" s="46"/>
      <c r="B2224" s="46"/>
      <c r="C2224" s="47"/>
    </row>
    <row r="2225" spans="1:3" x14ac:dyDescent="0.25">
      <c r="A2225" s="46"/>
      <c r="B2225" s="46"/>
      <c r="C2225" s="47"/>
    </row>
    <row r="2226" spans="1:3" x14ac:dyDescent="0.25">
      <c r="A2226" s="46"/>
      <c r="B2226" s="46"/>
      <c r="C2226" s="47"/>
    </row>
    <row r="2227" spans="1:3" x14ac:dyDescent="0.25">
      <c r="A2227" s="46"/>
      <c r="B2227" s="46"/>
      <c r="C2227" s="47"/>
    </row>
    <row r="2228" spans="1:3" x14ac:dyDescent="0.25">
      <c r="A2228" s="46"/>
      <c r="B2228" s="46"/>
      <c r="C2228" s="47"/>
    </row>
    <row r="2229" spans="1:3" x14ac:dyDescent="0.25">
      <c r="A2229" s="46"/>
      <c r="B2229" s="46"/>
      <c r="C2229" s="47"/>
    </row>
    <row r="2230" spans="1:3" x14ac:dyDescent="0.25">
      <c r="A2230" s="46"/>
      <c r="B2230" s="46"/>
      <c r="C2230" s="47"/>
    </row>
    <row r="2231" spans="1:3" x14ac:dyDescent="0.25">
      <c r="A2231" s="46"/>
      <c r="B2231" s="46"/>
      <c r="C2231" s="47"/>
    </row>
    <row r="2232" spans="1:3" x14ac:dyDescent="0.25">
      <c r="A2232" s="46"/>
      <c r="B2232" s="46"/>
      <c r="C2232" s="47"/>
    </row>
    <row r="2233" spans="1:3" x14ac:dyDescent="0.25">
      <c r="A2233" s="46"/>
      <c r="B2233" s="46"/>
      <c r="C2233" s="47"/>
    </row>
    <row r="2234" spans="1:3" x14ac:dyDescent="0.25">
      <c r="A2234" s="46"/>
      <c r="B2234" s="46"/>
      <c r="C2234" s="47"/>
    </row>
    <row r="2235" spans="1:3" x14ac:dyDescent="0.25">
      <c r="A2235" s="46"/>
      <c r="B2235" s="46"/>
      <c r="C2235" s="47"/>
    </row>
    <row r="2236" spans="1:3" x14ac:dyDescent="0.25">
      <c r="A2236" s="46"/>
      <c r="B2236" s="46"/>
      <c r="C2236" s="47"/>
    </row>
    <row r="2237" spans="1:3" x14ac:dyDescent="0.25">
      <c r="A2237" s="46"/>
      <c r="B2237" s="46"/>
      <c r="C2237" s="47"/>
    </row>
    <row r="2238" spans="1:3" x14ac:dyDescent="0.25">
      <c r="A2238" s="46"/>
      <c r="B2238" s="46"/>
      <c r="C2238" s="47"/>
    </row>
    <row r="2239" spans="1:3" x14ac:dyDescent="0.25">
      <c r="A2239" s="46"/>
      <c r="B2239" s="46"/>
      <c r="C2239" s="47"/>
    </row>
    <row r="2240" spans="1:3" x14ac:dyDescent="0.25">
      <c r="A2240" s="46"/>
      <c r="B2240" s="46"/>
      <c r="C2240" s="47"/>
    </row>
    <row r="2241" spans="1:3" x14ac:dyDescent="0.25">
      <c r="A2241" s="46"/>
      <c r="B2241" s="46"/>
      <c r="C2241" s="47"/>
    </row>
    <row r="2242" spans="1:3" x14ac:dyDescent="0.25">
      <c r="A2242" s="46"/>
      <c r="B2242" s="46"/>
      <c r="C2242" s="47"/>
    </row>
    <row r="2243" spans="1:3" x14ac:dyDescent="0.25">
      <c r="A2243" s="46"/>
      <c r="B2243" s="46"/>
      <c r="C2243" s="47"/>
    </row>
    <row r="2244" spans="1:3" x14ac:dyDescent="0.25">
      <c r="A2244" s="46"/>
      <c r="B2244" s="46"/>
      <c r="C2244" s="47"/>
    </row>
    <row r="2245" spans="1:3" x14ac:dyDescent="0.25">
      <c r="A2245" s="46"/>
      <c r="B2245" s="46"/>
      <c r="C2245" s="47"/>
    </row>
    <row r="2246" spans="1:3" x14ac:dyDescent="0.25">
      <c r="A2246" s="46"/>
      <c r="B2246" s="46"/>
      <c r="C2246" s="47"/>
    </row>
    <row r="2247" spans="1:3" x14ac:dyDescent="0.25">
      <c r="A2247" s="46"/>
      <c r="B2247" s="46"/>
      <c r="C2247" s="47"/>
    </row>
    <row r="2248" spans="1:3" x14ac:dyDescent="0.25">
      <c r="A2248" s="46"/>
      <c r="B2248" s="46"/>
      <c r="C2248" s="47"/>
    </row>
    <row r="2249" spans="1:3" x14ac:dyDescent="0.25">
      <c r="A2249" s="46"/>
      <c r="B2249" s="46"/>
      <c r="C2249" s="47"/>
    </row>
    <row r="2250" spans="1:3" x14ac:dyDescent="0.25">
      <c r="A2250" s="46"/>
      <c r="B2250" s="46"/>
      <c r="C2250" s="47"/>
    </row>
    <row r="2251" spans="1:3" x14ac:dyDescent="0.25">
      <c r="A2251" s="46"/>
      <c r="B2251" s="46"/>
      <c r="C2251" s="47"/>
    </row>
    <row r="2252" spans="1:3" x14ac:dyDescent="0.25">
      <c r="A2252" s="46"/>
      <c r="B2252" s="46"/>
      <c r="C2252" s="47"/>
    </row>
    <row r="2253" spans="1:3" x14ac:dyDescent="0.25">
      <c r="A2253" s="46"/>
      <c r="B2253" s="46"/>
      <c r="C2253" s="47"/>
    </row>
    <row r="2254" spans="1:3" x14ac:dyDescent="0.25">
      <c r="A2254" s="46"/>
      <c r="B2254" s="46"/>
      <c r="C2254" s="47"/>
    </row>
    <row r="2255" spans="1:3" x14ac:dyDescent="0.25">
      <c r="A2255" s="46"/>
      <c r="B2255" s="46"/>
      <c r="C2255" s="47"/>
    </row>
    <row r="2256" spans="1:3" x14ac:dyDescent="0.25">
      <c r="A2256" s="46"/>
      <c r="B2256" s="46"/>
      <c r="C2256" s="47"/>
    </row>
    <row r="2257" spans="1:3" x14ac:dyDescent="0.25">
      <c r="A2257" s="46"/>
      <c r="B2257" s="46"/>
      <c r="C2257" s="47"/>
    </row>
    <row r="2258" spans="1:3" x14ac:dyDescent="0.25">
      <c r="A2258" s="46"/>
      <c r="B2258" s="46"/>
      <c r="C2258" s="47"/>
    </row>
    <row r="2259" spans="1:3" x14ac:dyDescent="0.25">
      <c r="A2259" s="46"/>
      <c r="B2259" s="46"/>
      <c r="C2259" s="47"/>
    </row>
    <row r="2260" spans="1:3" x14ac:dyDescent="0.25">
      <c r="A2260" s="46"/>
      <c r="B2260" s="46"/>
      <c r="C2260" s="47"/>
    </row>
    <row r="2261" spans="1:3" x14ac:dyDescent="0.25">
      <c r="A2261" s="46"/>
      <c r="B2261" s="46"/>
      <c r="C2261" s="47"/>
    </row>
    <row r="2262" spans="1:3" x14ac:dyDescent="0.25">
      <c r="A2262" s="46"/>
      <c r="B2262" s="46"/>
      <c r="C2262" s="47"/>
    </row>
    <row r="2263" spans="1:3" x14ac:dyDescent="0.25">
      <c r="A2263" s="46"/>
      <c r="B2263" s="46"/>
      <c r="C2263" s="47"/>
    </row>
    <row r="2264" spans="1:3" x14ac:dyDescent="0.25">
      <c r="A2264" s="46"/>
      <c r="B2264" s="46"/>
      <c r="C2264" s="47"/>
    </row>
    <row r="2265" spans="1:3" x14ac:dyDescent="0.25">
      <c r="A2265" s="46"/>
      <c r="B2265" s="46"/>
      <c r="C2265" s="47"/>
    </row>
    <row r="2266" spans="1:3" x14ac:dyDescent="0.25">
      <c r="A2266" s="46"/>
      <c r="B2266" s="46"/>
      <c r="C2266" s="47"/>
    </row>
    <row r="2267" spans="1:3" x14ac:dyDescent="0.25">
      <c r="A2267" s="46"/>
      <c r="B2267" s="46"/>
      <c r="C2267" s="47"/>
    </row>
    <row r="2268" spans="1:3" x14ac:dyDescent="0.25">
      <c r="A2268" s="46"/>
      <c r="B2268" s="46"/>
      <c r="C2268" s="47"/>
    </row>
    <row r="2269" spans="1:3" x14ac:dyDescent="0.25">
      <c r="A2269" s="46"/>
      <c r="B2269" s="46"/>
      <c r="C2269" s="47"/>
    </row>
    <row r="2270" spans="1:3" x14ac:dyDescent="0.25">
      <c r="A2270" s="46"/>
      <c r="B2270" s="46"/>
      <c r="C2270" s="47"/>
    </row>
    <row r="2271" spans="1:3" x14ac:dyDescent="0.25">
      <c r="A2271" s="46"/>
      <c r="B2271" s="46"/>
      <c r="C2271" s="47"/>
    </row>
    <row r="2272" spans="1:3" x14ac:dyDescent="0.25">
      <c r="A2272" s="46"/>
      <c r="B2272" s="46"/>
      <c r="C2272" s="47"/>
    </row>
    <row r="2273" spans="1:3" x14ac:dyDescent="0.25">
      <c r="A2273" s="46"/>
      <c r="B2273" s="46"/>
      <c r="C2273" s="47"/>
    </row>
    <row r="2274" spans="1:3" x14ac:dyDescent="0.25">
      <c r="A2274" s="46"/>
      <c r="B2274" s="46"/>
      <c r="C2274" s="47"/>
    </row>
    <row r="2275" spans="1:3" x14ac:dyDescent="0.25">
      <c r="A2275" s="46"/>
      <c r="B2275" s="46"/>
      <c r="C2275" s="47"/>
    </row>
    <row r="2276" spans="1:3" x14ac:dyDescent="0.25">
      <c r="A2276" s="46"/>
      <c r="B2276" s="46"/>
      <c r="C2276" s="47"/>
    </row>
    <row r="2277" spans="1:3" x14ac:dyDescent="0.25">
      <c r="A2277" s="46"/>
      <c r="B2277" s="46"/>
      <c r="C2277" s="47"/>
    </row>
    <row r="2278" spans="1:3" x14ac:dyDescent="0.25">
      <c r="A2278" s="46"/>
      <c r="B2278" s="46"/>
      <c r="C2278" s="47"/>
    </row>
    <row r="2279" spans="1:3" x14ac:dyDescent="0.25">
      <c r="A2279" s="46"/>
      <c r="B2279" s="46"/>
      <c r="C2279" s="47"/>
    </row>
    <row r="2280" spans="1:3" x14ac:dyDescent="0.25">
      <c r="A2280" s="46"/>
      <c r="B2280" s="46"/>
      <c r="C2280" s="47"/>
    </row>
    <row r="2281" spans="1:3" x14ac:dyDescent="0.25">
      <c r="A2281" s="46"/>
      <c r="B2281" s="46"/>
      <c r="C2281" s="47"/>
    </row>
    <row r="2282" spans="1:3" x14ac:dyDescent="0.25">
      <c r="A2282" s="46"/>
      <c r="B2282" s="46"/>
      <c r="C2282" s="47"/>
    </row>
    <row r="2283" spans="1:3" x14ac:dyDescent="0.25">
      <c r="A2283" s="46"/>
      <c r="B2283" s="46"/>
      <c r="C2283" s="47"/>
    </row>
    <row r="2284" spans="1:3" x14ac:dyDescent="0.25">
      <c r="A2284" s="46"/>
      <c r="B2284" s="46"/>
      <c r="C2284" s="47"/>
    </row>
    <row r="2285" spans="1:3" x14ac:dyDescent="0.25">
      <c r="A2285" s="46"/>
      <c r="B2285" s="46"/>
      <c r="C2285" s="47"/>
    </row>
    <row r="2286" spans="1:3" x14ac:dyDescent="0.25">
      <c r="A2286" s="46"/>
      <c r="B2286" s="46"/>
      <c r="C2286" s="47"/>
    </row>
    <row r="2287" spans="1:3" x14ac:dyDescent="0.25">
      <c r="A2287" s="46"/>
      <c r="B2287" s="46"/>
      <c r="C2287" s="47"/>
    </row>
    <row r="2288" spans="1:3" x14ac:dyDescent="0.25">
      <c r="A2288" s="46"/>
      <c r="B2288" s="46"/>
      <c r="C2288" s="47"/>
    </row>
    <row r="2289" spans="1:3" x14ac:dyDescent="0.25">
      <c r="A2289" s="46"/>
      <c r="B2289" s="46"/>
      <c r="C2289" s="47"/>
    </row>
    <row r="2290" spans="1:3" x14ac:dyDescent="0.25">
      <c r="A2290" s="46"/>
      <c r="B2290" s="46"/>
      <c r="C2290" s="47"/>
    </row>
    <row r="2291" spans="1:3" x14ac:dyDescent="0.25">
      <c r="A2291" s="46"/>
      <c r="B2291" s="46"/>
      <c r="C2291" s="47"/>
    </row>
    <row r="2292" spans="1:3" x14ac:dyDescent="0.25">
      <c r="A2292" s="46"/>
      <c r="B2292" s="46"/>
      <c r="C2292" s="47"/>
    </row>
    <row r="2293" spans="1:3" x14ac:dyDescent="0.25">
      <c r="A2293" s="46"/>
      <c r="B2293" s="46"/>
      <c r="C2293" s="47"/>
    </row>
    <row r="2294" spans="1:3" x14ac:dyDescent="0.25">
      <c r="A2294" s="46"/>
      <c r="B2294" s="46"/>
      <c r="C2294" s="47"/>
    </row>
    <row r="2295" spans="1:3" x14ac:dyDescent="0.25">
      <c r="A2295" s="46"/>
      <c r="B2295" s="46"/>
      <c r="C2295" s="47"/>
    </row>
    <row r="2296" spans="1:3" x14ac:dyDescent="0.25">
      <c r="A2296" s="46"/>
      <c r="B2296" s="46"/>
      <c r="C2296" s="47"/>
    </row>
    <row r="2297" spans="1:3" x14ac:dyDescent="0.25">
      <c r="A2297" s="46"/>
      <c r="B2297" s="46"/>
      <c r="C2297" s="47"/>
    </row>
    <row r="2298" spans="1:3" x14ac:dyDescent="0.25">
      <c r="A2298" s="46"/>
      <c r="B2298" s="46"/>
      <c r="C2298" s="47"/>
    </row>
    <row r="2299" spans="1:3" x14ac:dyDescent="0.25">
      <c r="A2299" s="46"/>
      <c r="B2299" s="46"/>
      <c r="C2299" s="47"/>
    </row>
    <row r="2300" spans="1:3" x14ac:dyDescent="0.25">
      <c r="A2300" s="46"/>
      <c r="B2300" s="46"/>
      <c r="C2300" s="47"/>
    </row>
    <row r="2301" spans="1:3" x14ac:dyDescent="0.25">
      <c r="A2301" s="46"/>
      <c r="B2301" s="46"/>
      <c r="C2301" s="47"/>
    </row>
    <row r="2302" spans="1:3" x14ac:dyDescent="0.25">
      <c r="A2302" s="46"/>
      <c r="B2302" s="46"/>
      <c r="C2302" s="47"/>
    </row>
    <row r="2303" spans="1:3" x14ac:dyDescent="0.25">
      <c r="A2303" s="46"/>
      <c r="B2303" s="46"/>
      <c r="C2303" s="47"/>
    </row>
    <row r="2304" spans="1:3" x14ac:dyDescent="0.25">
      <c r="A2304" s="46"/>
      <c r="B2304" s="46"/>
      <c r="C2304" s="47"/>
    </row>
    <row r="2305" spans="1:3" x14ac:dyDescent="0.25">
      <c r="A2305" s="46"/>
      <c r="B2305" s="46"/>
      <c r="C2305" s="47"/>
    </row>
    <row r="2306" spans="1:3" x14ac:dyDescent="0.25">
      <c r="A2306" s="46"/>
      <c r="B2306" s="46"/>
      <c r="C2306" s="47"/>
    </row>
    <row r="2307" spans="1:3" x14ac:dyDescent="0.25">
      <c r="A2307" s="46"/>
      <c r="B2307" s="46"/>
      <c r="C2307" s="47"/>
    </row>
    <row r="2308" spans="1:3" x14ac:dyDescent="0.25">
      <c r="A2308" s="46"/>
      <c r="B2308" s="46"/>
      <c r="C2308" s="47"/>
    </row>
    <row r="2309" spans="1:3" x14ac:dyDescent="0.25">
      <c r="A2309" s="46"/>
      <c r="B2309" s="46"/>
      <c r="C2309" s="47"/>
    </row>
    <row r="2310" spans="1:3" x14ac:dyDescent="0.25">
      <c r="A2310" s="46"/>
      <c r="B2310" s="46"/>
      <c r="C2310" s="47"/>
    </row>
    <row r="2311" spans="1:3" x14ac:dyDescent="0.25">
      <c r="A2311" s="46"/>
      <c r="B2311" s="46"/>
      <c r="C2311" s="47"/>
    </row>
    <row r="2312" spans="1:3" x14ac:dyDescent="0.25">
      <c r="A2312" s="46"/>
      <c r="B2312" s="46"/>
      <c r="C2312" s="47"/>
    </row>
    <row r="2313" spans="1:3" x14ac:dyDescent="0.25">
      <c r="A2313" s="46"/>
      <c r="B2313" s="46"/>
      <c r="C2313" s="47"/>
    </row>
    <row r="2314" spans="1:3" x14ac:dyDescent="0.25">
      <c r="A2314" s="46"/>
      <c r="B2314" s="46"/>
      <c r="C2314" s="47"/>
    </row>
    <row r="2315" spans="1:3" x14ac:dyDescent="0.25">
      <c r="A2315" s="46"/>
      <c r="B2315" s="46"/>
      <c r="C2315" s="47"/>
    </row>
    <row r="2316" spans="1:3" x14ac:dyDescent="0.25">
      <c r="A2316" s="46"/>
      <c r="B2316" s="46"/>
      <c r="C2316" s="47"/>
    </row>
    <row r="2317" spans="1:3" x14ac:dyDescent="0.25">
      <c r="A2317" s="46"/>
      <c r="B2317" s="46"/>
      <c r="C2317" s="47"/>
    </row>
    <row r="2318" spans="1:3" x14ac:dyDescent="0.25">
      <c r="A2318" s="46"/>
      <c r="B2318" s="46"/>
      <c r="C2318" s="47"/>
    </row>
    <row r="2319" spans="1:3" x14ac:dyDescent="0.25">
      <c r="A2319" s="46"/>
      <c r="B2319" s="46"/>
      <c r="C2319" s="47"/>
    </row>
    <row r="2320" spans="1:3" x14ac:dyDescent="0.25">
      <c r="A2320" s="46"/>
      <c r="B2320" s="46"/>
      <c r="C2320" s="47"/>
    </row>
    <row r="2321" spans="1:3" x14ac:dyDescent="0.25">
      <c r="A2321" s="46"/>
      <c r="B2321" s="46"/>
      <c r="C2321" s="47"/>
    </row>
    <row r="2322" spans="1:3" x14ac:dyDescent="0.25">
      <c r="A2322" s="46"/>
      <c r="B2322" s="46"/>
      <c r="C2322" s="47"/>
    </row>
    <row r="2323" spans="1:3" x14ac:dyDescent="0.25">
      <c r="A2323" s="46"/>
      <c r="B2323" s="46"/>
      <c r="C2323" s="47"/>
    </row>
    <row r="2324" spans="1:3" x14ac:dyDescent="0.25">
      <c r="A2324" s="46"/>
      <c r="B2324" s="46"/>
      <c r="C2324" s="47"/>
    </row>
    <row r="2325" spans="1:3" x14ac:dyDescent="0.25">
      <c r="A2325" s="46"/>
      <c r="B2325" s="46"/>
      <c r="C2325" s="47"/>
    </row>
    <row r="2326" spans="1:3" x14ac:dyDescent="0.25">
      <c r="A2326" s="46"/>
      <c r="B2326" s="46"/>
      <c r="C2326" s="47"/>
    </row>
    <row r="2327" spans="1:3" x14ac:dyDescent="0.25">
      <c r="A2327" s="46"/>
      <c r="B2327" s="46"/>
      <c r="C2327" s="47"/>
    </row>
    <row r="2328" spans="1:3" x14ac:dyDescent="0.25">
      <c r="A2328" s="46"/>
      <c r="B2328" s="46"/>
      <c r="C2328" s="47"/>
    </row>
    <row r="2329" spans="1:3" x14ac:dyDescent="0.25">
      <c r="A2329" s="46"/>
      <c r="B2329" s="46"/>
      <c r="C2329" s="47"/>
    </row>
    <row r="2330" spans="1:3" x14ac:dyDescent="0.25">
      <c r="A2330" s="46"/>
      <c r="B2330" s="46"/>
      <c r="C2330" s="47"/>
    </row>
    <row r="2331" spans="1:3" x14ac:dyDescent="0.25">
      <c r="A2331" s="46"/>
      <c r="B2331" s="46"/>
      <c r="C2331" s="47"/>
    </row>
    <row r="2332" spans="1:3" x14ac:dyDescent="0.25">
      <c r="A2332" s="46"/>
      <c r="B2332" s="46"/>
      <c r="C2332" s="47"/>
    </row>
    <row r="2333" spans="1:3" x14ac:dyDescent="0.25">
      <c r="A2333" s="46"/>
      <c r="B2333" s="46"/>
      <c r="C2333" s="47"/>
    </row>
    <row r="2334" spans="1:3" x14ac:dyDescent="0.25">
      <c r="A2334" s="46"/>
      <c r="B2334" s="46"/>
      <c r="C2334" s="47"/>
    </row>
    <row r="2335" spans="1:3" x14ac:dyDescent="0.25">
      <c r="A2335" s="46"/>
      <c r="B2335" s="46"/>
      <c r="C2335" s="47"/>
    </row>
    <row r="2336" spans="1:3" x14ac:dyDescent="0.25">
      <c r="A2336" s="46"/>
      <c r="B2336" s="46"/>
      <c r="C2336" s="47"/>
    </row>
    <row r="2337" spans="1:3" x14ac:dyDescent="0.25">
      <c r="A2337" s="46"/>
      <c r="B2337" s="46"/>
      <c r="C2337" s="47"/>
    </row>
    <row r="2338" spans="1:3" x14ac:dyDescent="0.25">
      <c r="A2338" s="46"/>
      <c r="B2338" s="46"/>
      <c r="C2338" s="47"/>
    </row>
    <row r="2339" spans="1:3" x14ac:dyDescent="0.25">
      <c r="A2339" s="46"/>
      <c r="B2339" s="46"/>
      <c r="C2339" s="47"/>
    </row>
    <row r="2340" spans="1:3" x14ac:dyDescent="0.25">
      <c r="A2340" s="46"/>
      <c r="B2340" s="46"/>
      <c r="C2340" s="47"/>
    </row>
    <row r="2341" spans="1:3" x14ac:dyDescent="0.25">
      <c r="A2341" s="46"/>
      <c r="B2341" s="46"/>
      <c r="C2341" s="47"/>
    </row>
    <row r="2342" spans="1:3" x14ac:dyDescent="0.25">
      <c r="A2342" s="46"/>
      <c r="B2342" s="46"/>
      <c r="C2342" s="47"/>
    </row>
    <row r="2343" spans="1:3" x14ac:dyDescent="0.25">
      <c r="A2343" s="46"/>
      <c r="B2343" s="46"/>
      <c r="C2343" s="47"/>
    </row>
    <row r="2344" spans="1:3" x14ac:dyDescent="0.25">
      <c r="A2344" s="46"/>
      <c r="B2344" s="46"/>
      <c r="C2344" s="47"/>
    </row>
    <row r="2345" spans="1:3" x14ac:dyDescent="0.25">
      <c r="A2345" s="46"/>
      <c r="B2345" s="46"/>
      <c r="C2345" s="47"/>
    </row>
    <row r="2346" spans="1:3" x14ac:dyDescent="0.25">
      <c r="A2346" s="46"/>
      <c r="B2346" s="46"/>
      <c r="C2346" s="47"/>
    </row>
    <row r="2347" spans="1:3" x14ac:dyDescent="0.25">
      <c r="A2347" s="46"/>
      <c r="B2347" s="46"/>
      <c r="C2347" s="47"/>
    </row>
    <row r="2348" spans="1:3" x14ac:dyDescent="0.25">
      <c r="A2348" s="46"/>
      <c r="B2348" s="46"/>
      <c r="C2348" s="47"/>
    </row>
    <row r="2349" spans="1:3" x14ac:dyDescent="0.25">
      <c r="A2349" s="46"/>
      <c r="B2349" s="46"/>
      <c r="C2349" s="47"/>
    </row>
    <row r="2350" spans="1:3" x14ac:dyDescent="0.25">
      <c r="A2350" s="46"/>
      <c r="B2350" s="46"/>
      <c r="C2350" s="47"/>
    </row>
    <row r="2351" spans="1:3" x14ac:dyDescent="0.25">
      <c r="A2351" s="46"/>
      <c r="B2351" s="46"/>
      <c r="C2351" s="47"/>
    </row>
    <row r="2352" spans="1:3" x14ac:dyDescent="0.25">
      <c r="A2352" s="46"/>
      <c r="B2352" s="46"/>
      <c r="C2352" s="47"/>
    </row>
    <row r="2353" spans="1:3" x14ac:dyDescent="0.25">
      <c r="A2353" s="46"/>
      <c r="B2353" s="46"/>
      <c r="C2353" s="47"/>
    </row>
    <row r="2354" spans="1:3" x14ac:dyDescent="0.25">
      <c r="A2354" s="46"/>
      <c r="B2354" s="46"/>
      <c r="C2354" s="47"/>
    </row>
    <row r="2355" spans="1:3" x14ac:dyDescent="0.25">
      <c r="A2355" s="46"/>
      <c r="B2355" s="46"/>
      <c r="C2355" s="47"/>
    </row>
    <row r="2356" spans="1:3" x14ac:dyDescent="0.25">
      <c r="A2356" s="46"/>
      <c r="B2356" s="46"/>
      <c r="C2356" s="47"/>
    </row>
    <row r="2357" spans="1:3" x14ac:dyDescent="0.25">
      <c r="A2357" s="46"/>
      <c r="B2357" s="46"/>
      <c r="C2357" s="47"/>
    </row>
    <row r="2358" spans="1:3" x14ac:dyDescent="0.25">
      <c r="A2358" s="46"/>
      <c r="B2358" s="46"/>
      <c r="C2358" s="47"/>
    </row>
    <row r="2359" spans="1:3" x14ac:dyDescent="0.25">
      <c r="A2359" s="46"/>
      <c r="B2359" s="46"/>
      <c r="C2359" s="47"/>
    </row>
    <row r="2360" spans="1:3" x14ac:dyDescent="0.25">
      <c r="A2360" s="46"/>
      <c r="B2360" s="46"/>
      <c r="C2360" s="47"/>
    </row>
    <row r="2361" spans="1:3" x14ac:dyDescent="0.25">
      <c r="A2361" s="46"/>
      <c r="B2361" s="46"/>
      <c r="C2361" s="47"/>
    </row>
    <row r="2362" spans="1:3" x14ac:dyDescent="0.25">
      <c r="A2362" s="46"/>
      <c r="B2362" s="46"/>
      <c r="C2362" s="47"/>
    </row>
    <row r="2363" spans="1:3" x14ac:dyDescent="0.25">
      <c r="A2363" s="46"/>
      <c r="B2363" s="46"/>
      <c r="C2363" s="47"/>
    </row>
    <row r="2364" spans="1:3" x14ac:dyDescent="0.25">
      <c r="A2364" s="46"/>
      <c r="B2364" s="46"/>
      <c r="C2364" s="47"/>
    </row>
    <row r="2365" spans="1:3" x14ac:dyDescent="0.25">
      <c r="A2365" s="46"/>
      <c r="B2365" s="46"/>
      <c r="C2365" s="47"/>
    </row>
    <row r="2366" spans="1:3" x14ac:dyDescent="0.25">
      <c r="A2366" s="46"/>
      <c r="B2366" s="46"/>
      <c r="C2366" s="47"/>
    </row>
    <row r="2367" spans="1:3" x14ac:dyDescent="0.25">
      <c r="A2367" s="46"/>
      <c r="B2367" s="46"/>
      <c r="C2367" s="47"/>
    </row>
    <row r="2368" spans="1:3" x14ac:dyDescent="0.25">
      <c r="A2368" s="46"/>
      <c r="B2368" s="46"/>
      <c r="C2368" s="47"/>
    </row>
    <row r="2369" spans="1:3" x14ac:dyDescent="0.25">
      <c r="A2369" s="46"/>
      <c r="B2369" s="46"/>
      <c r="C2369" s="47"/>
    </row>
    <row r="2370" spans="1:3" x14ac:dyDescent="0.25">
      <c r="A2370" s="46"/>
      <c r="B2370" s="46"/>
      <c r="C2370" s="47"/>
    </row>
    <row r="2371" spans="1:3" x14ac:dyDescent="0.25">
      <c r="A2371" s="46"/>
      <c r="B2371" s="46"/>
      <c r="C2371" s="47"/>
    </row>
    <row r="2372" spans="1:3" x14ac:dyDescent="0.25">
      <c r="A2372" s="46"/>
      <c r="B2372" s="46"/>
      <c r="C2372" s="47"/>
    </row>
    <row r="2373" spans="1:3" x14ac:dyDescent="0.25">
      <c r="A2373" s="46"/>
      <c r="B2373" s="46"/>
      <c r="C2373" s="47"/>
    </row>
    <row r="2374" spans="1:3" x14ac:dyDescent="0.25">
      <c r="A2374" s="46"/>
      <c r="B2374" s="46"/>
      <c r="C2374" s="47"/>
    </row>
    <row r="2375" spans="1:3" x14ac:dyDescent="0.25">
      <c r="A2375" s="46"/>
      <c r="B2375" s="46"/>
      <c r="C2375" s="47"/>
    </row>
    <row r="2376" spans="1:3" x14ac:dyDescent="0.25">
      <c r="A2376" s="46"/>
      <c r="B2376" s="46"/>
      <c r="C2376" s="47"/>
    </row>
    <row r="2377" spans="1:3" x14ac:dyDescent="0.25">
      <c r="A2377" s="46"/>
      <c r="B2377" s="46"/>
      <c r="C2377" s="47"/>
    </row>
    <row r="2378" spans="1:3" x14ac:dyDescent="0.25">
      <c r="A2378" s="46"/>
      <c r="B2378" s="46"/>
      <c r="C2378" s="47"/>
    </row>
    <row r="2379" spans="1:3" x14ac:dyDescent="0.25">
      <c r="A2379" s="46"/>
      <c r="B2379" s="46"/>
      <c r="C2379" s="47"/>
    </row>
    <row r="2380" spans="1:3" x14ac:dyDescent="0.25">
      <c r="A2380" s="46"/>
      <c r="B2380" s="46"/>
      <c r="C2380" s="47"/>
    </row>
    <row r="2381" spans="1:3" x14ac:dyDescent="0.25">
      <c r="A2381" s="46"/>
      <c r="B2381" s="46"/>
      <c r="C2381" s="47"/>
    </row>
    <row r="2382" spans="1:3" x14ac:dyDescent="0.25">
      <c r="A2382" s="46"/>
      <c r="B2382" s="46"/>
      <c r="C2382" s="47"/>
    </row>
    <row r="2383" spans="1:3" x14ac:dyDescent="0.25">
      <c r="A2383" s="46"/>
      <c r="B2383" s="46"/>
      <c r="C2383" s="47"/>
    </row>
    <row r="2384" spans="1:3" x14ac:dyDescent="0.25">
      <c r="A2384" s="46"/>
      <c r="B2384" s="46"/>
      <c r="C2384" s="47"/>
    </row>
    <row r="2385" spans="1:3" x14ac:dyDescent="0.25">
      <c r="A2385" s="46"/>
      <c r="B2385" s="46"/>
      <c r="C2385" s="47"/>
    </row>
    <row r="2386" spans="1:3" x14ac:dyDescent="0.25">
      <c r="A2386" s="46"/>
      <c r="B2386" s="46"/>
      <c r="C2386" s="47"/>
    </row>
    <row r="2387" spans="1:3" x14ac:dyDescent="0.25">
      <c r="A2387" s="46"/>
      <c r="B2387" s="46"/>
      <c r="C2387" s="47"/>
    </row>
    <row r="2388" spans="1:3" x14ac:dyDescent="0.25">
      <c r="A2388" s="46"/>
      <c r="B2388" s="46"/>
      <c r="C2388" s="47"/>
    </row>
    <row r="2389" spans="1:3" x14ac:dyDescent="0.25">
      <c r="A2389" s="46"/>
      <c r="B2389" s="46"/>
      <c r="C2389" s="47"/>
    </row>
    <row r="2390" spans="1:3" x14ac:dyDescent="0.25">
      <c r="A2390" s="46"/>
      <c r="B2390" s="46"/>
      <c r="C2390" s="47"/>
    </row>
    <row r="2391" spans="1:3" x14ac:dyDescent="0.25">
      <c r="A2391" s="46"/>
      <c r="B2391" s="46"/>
      <c r="C2391" s="47"/>
    </row>
    <row r="2392" spans="1:3" x14ac:dyDescent="0.25">
      <c r="A2392" s="46"/>
      <c r="B2392" s="46"/>
      <c r="C2392" s="47"/>
    </row>
    <row r="2393" spans="1:3" x14ac:dyDescent="0.25">
      <c r="A2393" s="46"/>
      <c r="B2393" s="46"/>
      <c r="C2393" s="47"/>
    </row>
    <row r="2394" spans="1:3" x14ac:dyDescent="0.25">
      <c r="A2394" s="46"/>
      <c r="B2394" s="46"/>
      <c r="C2394" s="47"/>
    </row>
    <row r="2395" spans="1:3" x14ac:dyDescent="0.25">
      <c r="A2395" s="46"/>
      <c r="B2395" s="46"/>
      <c r="C2395" s="47"/>
    </row>
    <row r="2396" spans="1:3" x14ac:dyDescent="0.25">
      <c r="A2396" s="46"/>
      <c r="B2396" s="46"/>
      <c r="C2396" s="47"/>
    </row>
    <row r="2397" spans="1:3" x14ac:dyDescent="0.25">
      <c r="A2397" s="46"/>
      <c r="B2397" s="46"/>
      <c r="C2397" s="47"/>
    </row>
    <row r="2398" spans="1:3" x14ac:dyDescent="0.25">
      <c r="A2398" s="46"/>
      <c r="B2398" s="46"/>
      <c r="C2398" s="47"/>
    </row>
    <row r="2399" spans="1:3" x14ac:dyDescent="0.25">
      <c r="A2399" s="46"/>
      <c r="B2399" s="46"/>
      <c r="C2399" s="47"/>
    </row>
    <row r="2400" spans="1:3" x14ac:dyDescent="0.25">
      <c r="A2400" s="46"/>
      <c r="B2400" s="46"/>
      <c r="C2400" s="47"/>
    </row>
    <row r="2401" spans="1:3" x14ac:dyDescent="0.25">
      <c r="A2401" s="46"/>
      <c r="B2401" s="46"/>
      <c r="C2401" s="47"/>
    </row>
    <row r="2402" spans="1:3" x14ac:dyDescent="0.25">
      <c r="A2402" s="46"/>
      <c r="B2402" s="46"/>
      <c r="C2402" s="47"/>
    </row>
    <row r="2403" spans="1:3" x14ac:dyDescent="0.25">
      <c r="A2403" s="46"/>
      <c r="B2403" s="46"/>
      <c r="C2403" s="47"/>
    </row>
    <row r="2404" spans="1:3" x14ac:dyDescent="0.25">
      <c r="A2404" s="46"/>
      <c r="B2404" s="46"/>
      <c r="C2404" s="47"/>
    </row>
    <row r="2405" spans="1:3" x14ac:dyDescent="0.25">
      <c r="A2405" s="46"/>
      <c r="B2405" s="46"/>
      <c r="C2405" s="47"/>
    </row>
    <row r="2406" spans="1:3" x14ac:dyDescent="0.25">
      <c r="A2406" s="46"/>
      <c r="B2406" s="46"/>
      <c r="C2406" s="47"/>
    </row>
    <row r="2407" spans="1:3" x14ac:dyDescent="0.25">
      <c r="A2407" s="46"/>
      <c r="B2407" s="46"/>
      <c r="C2407" s="47"/>
    </row>
    <row r="2408" spans="1:3" x14ac:dyDescent="0.25">
      <c r="A2408" s="46"/>
      <c r="B2408" s="46"/>
      <c r="C2408" s="47"/>
    </row>
    <row r="2409" spans="1:3" x14ac:dyDescent="0.25">
      <c r="A2409" s="46"/>
      <c r="B2409" s="46"/>
      <c r="C2409" s="47"/>
    </row>
    <row r="2410" spans="1:3" x14ac:dyDescent="0.25">
      <c r="A2410" s="46"/>
      <c r="B2410" s="46"/>
      <c r="C2410" s="47"/>
    </row>
    <row r="2411" spans="1:3" x14ac:dyDescent="0.25">
      <c r="A2411" s="46"/>
      <c r="B2411" s="46"/>
      <c r="C2411" s="47"/>
    </row>
    <row r="2412" spans="1:3" x14ac:dyDescent="0.25">
      <c r="A2412" s="46"/>
      <c r="B2412" s="46"/>
      <c r="C2412" s="47"/>
    </row>
    <row r="2413" spans="1:3" x14ac:dyDescent="0.25">
      <c r="A2413" s="46"/>
      <c r="B2413" s="46"/>
      <c r="C2413" s="47"/>
    </row>
    <row r="2414" spans="1:3" x14ac:dyDescent="0.25">
      <c r="A2414" s="46"/>
      <c r="B2414" s="46"/>
      <c r="C2414" s="47"/>
    </row>
    <row r="2415" spans="1:3" x14ac:dyDescent="0.25">
      <c r="A2415" s="46"/>
      <c r="B2415" s="46"/>
      <c r="C2415" s="47"/>
    </row>
    <row r="2416" spans="1:3" x14ac:dyDescent="0.25">
      <c r="A2416" s="46"/>
      <c r="B2416" s="46"/>
      <c r="C2416" s="47"/>
    </row>
    <row r="2417" spans="1:3" x14ac:dyDescent="0.25">
      <c r="A2417" s="46"/>
      <c r="B2417" s="46"/>
      <c r="C2417" s="47"/>
    </row>
    <row r="2418" spans="1:3" x14ac:dyDescent="0.25">
      <c r="A2418" s="46"/>
      <c r="B2418" s="46"/>
      <c r="C2418" s="47"/>
    </row>
    <row r="2419" spans="1:3" x14ac:dyDescent="0.25">
      <c r="A2419" s="46"/>
      <c r="B2419" s="46"/>
      <c r="C2419" s="47"/>
    </row>
    <row r="2420" spans="1:3" x14ac:dyDescent="0.25">
      <c r="A2420" s="46"/>
      <c r="B2420" s="46"/>
      <c r="C2420" s="47"/>
    </row>
    <row r="2421" spans="1:3" x14ac:dyDescent="0.25">
      <c r="A2421" s="46"/>
      <c r="B2421" s="46"/>
      <c r="C2421" s="47"/>
    </row>
    <row r="2422" spans="1:3" x14ac:dyDescent="0.25">
      <c r="A2422" s="46"/>
      <c r="B2422" s="46"/>
      <c r="C2422" s="47"/>
    </row>
    <row r="2423" spans="1:3" x14ac:dyDescent="0.25">
      <c r="A2423" s="46"/>
      <c r="B2423" s="46"/>
      <c r="C2423" s="47"/>
    </row>
    <row r="2424" spans="1:3" x14ac:dyDescent="0.25">
      <c r="A2424" s="46"/>
      <c r="B2424" s="46"/>
      <c r="C2424" s="47"/>
    </row>
    <row r="2425" spans="1:3" x14ac:dyDescent="0.25">
      <c r="A2425" s="46"/>
      <c r="B2425" s="46"/>
      <c r="C2425" s="47"/>
    </row>
    <row r="2426" spans="1:3" x14ac:dyDescent="0.25">
      <c r="A2426" s="46"/>
      <c r="B2426" s="46"/>
      <c r="C2426" s="47"/>
    </row>
    <row r="2427" spans="1:3" x14ac:dyDescent="0.25">
      <c r="A2427" s="46"/>
      <c r="B2427" s="46"/>
      <c r="C2427" s="47"/>
    </row>
    <row r="2428" spans="1:3" x14ac:dyDescent="0.25">
      <c r="A2428" s="46"/>
      <c r="B2428" s="46"/>
      <c r="C2428" s="47"/>
    </row>
    <row r="2429" spans="1:3" x14ac:dyDescent="0.25">
      <c r="A2429" s="46"/>
      <c r="B2429" s="46"/>
      <c r="C2429" s="47"/>
    </row>
    <row r="2430" spans="1:3" x14ac:dyDescent="0.25">
      <c r="A2430" s="46"/>
      <c r="B2430" s="46"/>
      <c r="C2430" s="47"/>
    </row>
    <row r="2431" spans="1:3" x14ac:dyDescent="0.25">
      <c r="A2431" s="46"/>
      <c r="B2431" s="46"/>
      <c r="C2431" s="47"/>
    </row>
    <row r="2432" spans="1:3" x14ac:dyDescent="0.25">
      <c r="A2432" s="46"/>
      <c r="B2432" s="46"/>
      <c r="C2432" s="47"/>
    </row>
    <row r="2433" spans="1:3" x14ac:dyDescent="0.25">
      <c r="A2433" s="46"/>
      <c r="B2433" s="46"/>
      <c r="C2433" s="47"/>
    </row>
    <row r="2434" spans="1:3" x14ac:dyDescent="0.25">
      <c r="A2434" s="46"/>
      <c r="B2434" s="46"/>
      <c r="C2434" s="47"/>
    </row>
    <row r="2435" spans="1:3" x14ac:dyDescent="0.25">
      <c r="A2435" s="46"/>
      <c r="B2435" s="46"/>
      <c r="C2435" s="47"/>
    </row>
    <row r="2436" spans="1:3" x14ac:dyDescent="0.25">
      <c r="A2436" s="46"/>
      <c r="B2436" s="46"/>
      <c r="C2436" s="47"/>
    </row>
    <row r="2437" spans="1:3" x14ac:dyDescent="0.25">
      <c r="A2437" s="46"/>
      <c r="B2437" s="46"/>
      <c r="C2437" s="47"/>
    </row>
    <row r="2438" spans="1:3" x14ac:dyDescent="0.25">
      <c r="A2438" s="46"/>
      <c r="B2438" s="46"/>
      <c r="C2438" s="47"/>
    </row>
    <row r="2439" spans="1:3" x14ac:dyDescent="0.25">
      <c r="A2439" s="46"/>
      <c r="B2439" s="46"/>
      <c r="C2439" s="47"/>
    </row>
    <row r="2440" spans="1:3" x14ac:dyDescent="0.25">
      <c r="A2440" s="46"/>
      <c r="B2440" s="46"/>
      <c r="C2440" s="47"/>
    </row>
    <row r="2441" spans="1:3" x14ac:dyDescent="0.25">
      <c r="A2441" s="46"/>
      <c r="B2441" s="46"/>
      <c r="C2441" s="47"/>
    </row>
    <row r="2442" spans="1:3" x14ac:dyDescent="0.25">
      <c r="A2442" s="46"/>
      <c r="B2442" s="46"/>
      <c r="C2442" s="47"/>
    </row>
    <row r="2443" spans="1:3" x14ac:dyDescent="0.25">
      <c r="A2443" s="46"/>
      <c r="B2443" s="46"/>
      <c r="C2443" s="47"/>
    </row>
    <row r="2444" spans="1:3" x14ac:dyDescent="0.25">
      <c r="A2444" s="46"/>
      <c r="B2444" s="46"/>
      <c r="C2444" s="47"/>
    </row>
    <row r="2445" spans="1:3" x14ac:dyDescent="0.25">
      <c r="A2445" s="46"/>
      <c r="B2445" s="46"/>
      <c r="C2445" s="47"/>
    </row>
    <row r="2446" spans="1:3" x14ac:dyDescent="0.25">
      <c r="A2446" s="46"/>
      <c r="B2446" s="46"/>
      <c r="C2446" s="47"/>
    </row>
    <row r="2447" spans="1:3" x14ac:dyDescent="0.25">
      <c r="A2447" s="46"/>
      <c r="B2447" s="46"/>
      <c r="C2447" s="47"/>
    </row>
    <row r="2448" spans="1:3" x14ac:dyDescent="0.25">
      <c r="A2448" s="46"/>
      <c r="B2448" s="46"/>
      <c r="C2448" s="47"/>
    </row>
    <row r="2449" spans="1:3" x14ac:dyDescent="0.25">
      <c r="A2449" s="46"/>
      <c r="B2449" s="46"/>
      <c r="C2449" s="47"/>
    </row>
    <row r="2450" spans="1:3" x14ac:dyDescent="0.25">
      <c r="A2450" s="46"/>
      <c r="B2450" s="46"/>
      <c r="C2450" s="47"/>
    </row>
    <row r="2451" spans="1:3" x14ac:dyDescent="0.25">
      <c r="A2451" s="46"/>
      <c r="B2451" s="46"/>
      <c r="C2451" s="47"/>
    </row>
    <row r="2452" spans="1:3" x14ac:dyDescent="0.25">
      <c r="A2452" s="46"/>
      <c r="B2452" s="46"/>
      <c r="C2452" s="47"/>
    </row>
    <row r="2453" spans="1:3" x14ac:dyDescent="0.25">
      <c r="A2453" s="46"/>
      <c r="B2453" s="46"/>
      <c r="C2453" s="47"/>
    </row>
    <row r="2454" spans="1:3" x14ac:dyDescent="0.25">
      <c r="A2454" s="46"/>
      <c r="B2454" s="46"/>
      <c r="C2454" s="47"/>
    </row>
    <row r="2455" spans="1:3" x14ac:dyDescent="0.25">
      <c r="A2455" s="46"/>
      <c r="B2455" s="46"/>
      <c r="C2455" s="47"/>
    </row>
    <row r="2456" spans="1:3" x14ac:dyDescent="0.25">
      <c r="A2456" s="46"/>
      <c r="B2456" s="46"/>
      <c r="C2456" s="47"/>
    </row>
    <row r="2457" spans="1:3" x14ac:dyDescent="0.25">
      <c r="A2457" s="46"/>
      <c r="B2457" s="46"/>
      <c r="C2457" s="47"/>
    </row>
    <row r="2458" spans="1:3" x14ac:dyDescent="0.25">
      <c r="A2458" s="46"/>
      <c r="B2458" s="46"/>
      <c r="C2458" s="47"/>
    </row>
    <row r="2459" spans="1:3" x14ac:dyDescent="0.25">
      <c r="A2459" s="46"/>
      <c r="B2459" s="46"/>
      <c r="C2459" s="47"/>
    </row>
    <row r="2460" spans="1:3" x14ac:dyDescent="0.25">
      <c r="A2460" s="46"/>
      <c r="B2460" s="46"/>
      <c r="C2460" s="47"/>
    </row>
    <row r="2461" spans="1:3" x14ac:dyDescent="0.25">
      <c r="A2461" s="46"/>
      <c r="B2461" s="46"/>
      <c r="C2461" s="47"/>
    </row>
    <row r="2462" spans="1:3" x14ac:dyDescent="0.25">
      <c r="A2462" s="46"/>
      <c r="B2462" s="46"/>
      <c r="C2462" s="47"/>
    </row>
    <row r="2463" spans="1:3" x14ac:dyDescent="0.25">
      <c r="A2463" s="46"/>
      <c r="B2463" s="46"/>
      <c r="C2463" s="47"/>
    </row>
    <row r="2464" spans="1:3" x14ac:dyDescent="0.25">
      <c r="A2464" s="46"/>
      <c r="B2464" s="46"/>
      <c r="C2464" s="47"/>
    </row>
    <row r="2465" spans="1:3" x14ac:dyDescent="0.25">
      <c r="A2465" s="46"/>
      <c r="B2465" s="46"/>
      <c r="C2465" s="47"/>
    </row>
    <row r="2466" spans="1:3" x14ac:dyDescent="0.25">
      <c r="A2466" s="46"/>
      <c r="B2466" s="46"/>
      <c r="C2466" s="47"/>
    </row>
    <row r="2467" spans="1:3" x14ac:dyDescent="0.25">
      <c r="A2467" s="46"/>
      <c r="B2467" s="46"/>
      <c r="C2467" s="47"/>
    </row>
    <row r="2468" spans="1:3" x14ac:dyDescent="0.25">
      <c r="A2468" s="46"/>
      <c r="B2468" s="46"/>
      <c r="C2468" s="47"/>
    </row>
    <row r="2469" spans="1:3" x14ac:dyDescent="0.25">
      <c r="A2469" s="46"/>
      <c r="B2469" s="46"/>
      <c r="C2469" s="47"/>
    </row>
    <row r="2470" spans="1:3" x14ac:dyDescent="0.25">
      <c r="A2470" s="46"/>
      <c r="B2470" s="46"/>
      <c r="C2470" s="47"/>
    </row>
    <row r="2471" spans="1:3" x14ac:dyDescent="0.25">
      <c r="A2471" s="46"/>
      <c r="B2471" s="46"/>
      <c r="C2471" s="47"/>
    </row>
    <row r="2472" spans="1:3" x14ac:dyDescent="0.25">
      <c r="A2472" s="46"/>
      <c r="B2472" s="46"/>
      <c r="C2472" s="47"/>
    </row>
    <row r="2473" spans="1:3" x14ac:dyDescent="0.25">
      <c r="A2473" s="46"/>
      <c r="B2473" s="46"/>
      <c r="C2473" s="47"/>
    </row>
    <row r="2474" spans="1:3" x14ac:dyDescent="0.25">
      <c r="A2474" s="46"/>
      <c r="B2474" s="46"/>
      <c r="C2474" s="47"/>
    </row>
    <row r="2475" spans="1:3" x14ac:dyDescent="0.25">
      <c r="A2475" s="46"/>
      <c r="B2475" s="46"/>
      <c r="C2475" s="47"/>
    </row>
    <row r="2476" spans="1:3" x14ac:dyDescent="0.25">
      <c r="A2476" s="46"/>
      <c r="B2476" s="46"/>
      <c r="C2476" s="47"/>
    </row>
    <row r="2477" spans="1:3" x14ac:dyDescent="0.25">
      <c r="A2477" s="46"/>
      <c r="B2477" s="46"/>
      <c r="C2477" s="47"/>
    </row>
    <row r="2478" spans="1:3" x14ac:dyDescent="0.25">
      <c r="A2478" s="46"/>
      <c r="B2478" s="46"/>
      <c r="C2478" s="47"/>
    </row>
    <row r="2479" spans="1:3" x14ac:dyDescent="0.25">
      <c r="A2479" s="46"/>
      <c r="B2479" s="46"/>
      <c r="C2479" s="47"/>
    </row>
    <row r="2480" spans="1:3" x14ac:dyDescent="0.25">
      <c r="A2480" s="46"/>
      <c r="B2480" s="46"/>
      <c r="C2480" s="47"/>
    </row>
    <row r="2481" spans="1:3" x14ac:dyDescent="0.25">
      <c r="A2481" s="46"/>
      <c r="B2481" s="46"/>
      <c r="C2481" s="47"/>
    </row>
    <row r="2482" spans="1:3" x14ac:dyDescent="0.25">
      <c r="A2482" s="46"/>
      <c r="B2482" s="46"/>
      <c r="C2482" s="47"/>
    </row>
    <row r="2483" spans="1:3" x14ac:dyDescent="0.25">
      <c r="A2483" s="46"/>
      <c r="B2483" s="46"/>
      <c r="C2483" s="47"/>
    </row>
    <row r="2484" spans="1:3" x14ac:dyDescent="0.25">
      <c r="A2484" s="46"/>
      <c r="B2484" s="46"/>
      <c r="C2484" s="47"/>
    </row>
    <row r="2485" spans="1:3" x14ac:dyDescent="0.25">
      <c r="A2485" s="46"/>
      <c r="B2485" s="46"/>
      <c r="C2485" s="47"/>
    </row>
    <row r="2486" spans="1:3" x14ac:dyDescent="0.25">
      <c r="A2486" s="46"/>
      <c r="B2486" s="46"/>
      <c r="C2486" s="47"/>
    </row>
    <row r="2487" spans="1:3" x14ac:dyDescent="0.25">
      <c r="A2487" s="46"/>
      <c r="B2487" s="46"/>
      <c r="C2487" s="47"/>
    </row>
    <row r="2488" spans="1:3" x14ac:dyDescent="0.25">
      <c r="A2488" s="46"/>
      <c r="B2488" s="46"/>
      <c r="C2488" s="47"/>
    </row>
    <row r="2489" spans="1:3" x14ac:dyDescent="0.25">
      <c r="A2489" s="46"/>
      <c r="B2489" s="46"/>
      <c r="C2489" s="47"/>
    </row>
    <row r="2490" spans="1:3" x14ac:dyDescent="0.25">
      <c r="A2490" s="46"/>
      <c r="B2490" s="46"/>
      <c r="C2490" s="47"/>
    </row>
    <row r="2491" spans="1:3" x14ac:dyDescent="0.25">
      <c r="A2491" s="46"/>
      <c r="B2491" s="46"/>
      <c r="C2491" s="47"/>
    </row>
    <row r="2492" spans="1:3" x14ac:dyDescent="0.25">
      <c r="A2492" s="46"/>
      <c r="B2492" s="46"/>
      <c r="C2492" s="47"/>
    </row>
    <row r="2493" spans="1:3" x14ac:dyDescent="0.25">
      <c r="A2493" s="46"/>
      <c r="B2493" s="46"/>
      <c r="C2493" s="47"/>
    </row>
    <row r="2494" spans="1:3" x14ac:dyDescent="0.25">
      <c r="A2494" s="46"/>
      <c r="B2494" s="46"/>
      <c r="C2494" s="47"/>
    </row>
    <row r="2495" spans="1:3" x14ac:dyDescent="0.25">
      <c r="A2495" s="46"/>
      <c r="B2495" s="46"/>
      <c r="C2495" s="47"/>
    </row>
    <row r="2496" spans="1:3" x14ac:dyDescent="0.25">
      <c r="A2496" s="46"/>
      <c r="B2496" s="46"/>
      <c r="C2496" s="47"/>
    </row>
    <row r="2497" spans="1:3" x14ac:dyDescent="0.25">
      <c r="A2497" s="46"/>
      <c r="B2497" s="46"/>
      <c r="C2497" s="47"/>
    </row>
    <row r="2498" spans="1:3" x14ac:dyDescent="0.25">
      <c r="A2498" s="46"/>
      <c r="B2498" s="46"/>
      <c r="C2498" s="47"/>
    </row>
    <row r="2499" spans="1:3" x14ac:dyDescent="0.25">
      <c r="A2499" s="46"/>
      <c r="B2499" s="46"/>
      <c r="C2499" s="47"/>
    </row>
    <row r="2500" spans="1:3" x14ac:dyDescent="0.25">
      <c r="A2500" s="46"/>
      <c r="B2500" s="46"/>
      <c r="C2500" s="47"/>
    </row>
    <row r="2501" spans="1:3" x14ac:dyDescent="0.25">
      <c r="A2501" s="46"/>
      <c r="B2501" s="46"/>
      <c r="C2501" s="47"/>
    </row>
    <row r="2502" spans="1:3" x14ac:dyDescent="0.25">
      <c r="A2502" s="46"/>
      <c r="B2502" s="46"/>
      <c r="C2502" s="47"/>
    </row>
    <row r="2503" spans="1:3" x14ac:dyDescent="0.25">
      <c r="A2503" s="46"/>
      <c r="B2503" s="46"/>
      <c r="C2503" s="47"/>
    </row>
    <row r="2504" spans="1:3" x14ac:dyDescent="0.25">
      <c r="A2504" s="46"/>
      <c r="B2504" s="46"/>
      <c r="C2504" s="47"/>
    </row>
    <row r="2505" spans="1:3" x14ac:dyDescent="0.25">
      <c r="A2505" s="46"/>
      <c r="B2505" s="46"/>
      <c r="C2505" s="47"/>
    </row>
    <row r="2506" spans="1:3" x14ac:dyDescent="0.25">
      <c r="A2506" s="46"/>
      <c r="B2506" s="46"/>
      <c r="C2506" s="47"/>
    </row>
    <row r="2507" spans="1:3" x14ac:dyDescent="0.25">
      <c r="A2507" s="46"/>
      <c r="B2507" s="46"/>
      <c r="C2507" s="47"/>
    </row>
    <row r="2508" spans="1:3" x14ac:dyDescent="0.25">
      <c r="A2508" s="46"/>
      <c r="B2508" s="46"/>
      <c r="C2508" s="47"/>
    </row>
    <row r="2509" spans="1:3" x14ac:dyDescent="0.25">
      <c r="A2509" s="46"/>
      <c r="B2509" s="46"/>
      <c r="C2509" s="47"/>
    </row>
    <row r="2510" spans="1:3" x14ac:dyDescent="0.25">
      <c r="A2510" s="46"/>
      <c r="B2510" s="46"/>
      <c r="C2510" s="47"/>
    </row>
    <row r="2511" spans="1:3" x14ac:dyDescent="0.25">
      <c r="A2511" s="46"/>
      <c r="B2511" s="46"/>
      <c r="C2511" s="47"/>
    </row>
    <row r="2512" spans="1:3" x14ac:dyDescent="0.25">
      <c r="A2512" s="46"/>
      <c r="B2512" s="46"/>
      <c r="C2512" s="47"/>
    </row>
    <row r="2513" spans="1:3" x14ac:dyDescent="0.25">
      <c r="A2513" s="46"/>
      <c r="B2513" s="46"/>
      <c r="C2513" s="47"/>
    </row>
    <row r="2514" spans="1:3" x14ac:dyDescent="0.25">
      <c r="A2514" s="46"/>
      <c r="B2514" s="46"/>
      <c r="C2514" s="47"/>
    </row>
    <row r="2515" spans="1:3" x14ac:dyDescent="0.25">
      <c r="A2515" s="46"/>
      <c r="B2515" s="46"/>
      <c r="C2515" s="47"/>
    </row>
    <row r="2516" spans="1:3" x14ac:dyDescent="0.25">
      <c r="A2516" s="46"/>
      <c r="B2516" s="46"/>
      <c r="C2516" s="47"/>
    </row>
    <row r="2517" spans="1:3" x14ac:dyDescent="0.25">
      <c r="A2517" s="46"/>
      <c r="B2517" s="46"/>
      <c r="C2517" s="47"/>
    </row>
    <row r="2518" spans="1:3" x14ac:dyDescent="0.25">
      <c r="A2518" s="46"/>
      <c r="B2518" s="46"/>
      <c r="C2518" s="47"/>
    </row>
    <row r="2519" spans="1:3" x14ac:dyDescent="0.25">
      <c r="A2519" s="46"/>
      <c r="B2519" s="46"/>
      <c r="C2519" s="47"/>
    </row>
    <row r="2520" spans="1:3" x14ac:dyDescent="0.25">
      <c r="A2520" s="46"/>
      <c r="B2520" s="46"/>
      <c r="C2520" s="47"/>
    </row>
    <row r="2521" spans="1:3" x14ac:dyDescent="0.25">
      <c r="A2521" s="46"/>
      <c r="B2521" s="46"/>
      <c r="C2521" s="47"/>
    </row>
    <row r="2522" spans="1:3" x14ac:dyDescent="0.25">
      <c r="A2522" s="46"/>
      <c r="B2522" s="46"/>
      <c r="C2522" s="47"/>
    </row>
    <row r="2523" spans="1:3" x14ac:dyDescent="0.25">
      <c r="A2523" s="46"/>
      <c r="B2523" s="46"/>
      <c r="C2523" s="47"/>
    </row>
    <row r="2524" spans="1:3" x14ac:dyDescent="0.25">
      <c r="A2524" s="46"/>
      <c r="B2524" s="46"/>
      <c r="C2524" s="47"/>
    </row>
    <row r="2525" spans="1:3" x14ac:dyDescent="0.25">
      <c r="A2525" s="46"/>
      <c r="B2525" s="46"/>
      <c r="C2525" s="47"/>
    </row>
    <row r="2526" spans="1:3" x14ac:dyDescent="0.25">
      <c r="A2526" s="46"/>
      <c r="B2526" s="46"/>
      <c r="C2526" s="47"/>
    </row>
    <row r="2527" spans="1:3" x14ac:dyDescent="0.25">
      <c r="A2527" s="46"/>
      <c r="B2527" s="46"/>
      <c r="C2527" s="47"/>
    </row>
    <row r="2528" spans="1:3" x14ac:dyDescent="0.25">
      <c r="A2528" s="46"/>
      <c r="B2528" s="46"/>
      <c r="C2528" s="47"/>
    </row>
    <row r="2529" spans="1:3" x14ac:dyDescent="0.25">
      <c r="A2529" s="46"/>
      <c r="B2529" s="46"/>
      <c r="C2529" s="47"/>
    </row>
    <row r="2530" spans="1:3" x14ac:dyDescent="0.25">
      <c r="A2530" s="46"/>
      <c r="B2530" s="46"/>
      <c r="C2530" s="47"/>
    </row>
    <row r="2531" spans="1:3" x14ac:dyDescent="0.25">
      <c r="A2531" s="46"/>
      <c r="B2531" s="46"/>
      <c r="C2531" s="47"/>
    </row>
    <row r="2532" spans="1:3" x14ac:dyDescent="0.25">
      <c r="A2532" s="46"/>
      <c r="B2532" s="46"/>
      <c r="C2532" s="47"/>
    </row>
    <row r="2533" spans="1:3" x14ac:dyDescent="0.25">
      <c r="A2533" s="46"/>
      <c r="B2533" s="46"/>
      <c r="C2533" s="47"/>
    </row>
    <row r="2534" spans="1:3" x14ac:dyDescent="0.25">
      <c r="A2534" s="46"/>
      <c r="B2534" s="46"/>
      <c r="C2534" s="47"/>
    </row>
    <row r="2535" spans="1:3" x14ac:dyDescent="0.25">
      <c r="A2535" s="46"/>
      <c r="B2535" s="46"/>
      <c r="C2535" s="47"/>
    </row>
    <row r="2536" spans="1:3" x14ac:dyDescent="0.25">
      <c r="A2536" s="46"/>
      <c r="B2536" s="46"/>
      <c r="C2536" s="47"/>
    </row>
    <row r="2537" spans="1:3" x14ac:dyDescent="0.25">
      <c r="A2537" s="46"/>
      <c r="B2537" s="46"/>
      <c r="C2537" s="47"/>
    </row>
    <row r="2538" spans="1:3" x14ac:dyDescent="0.25">
      <c r="A2538" s="46"/>
      <c r="B2538" s="46"/>
      <c r="C2538" s="47"/>
    </row>
    <row r="2539" spans="1:3" x14ac:dyDescent="0.25">
      <c r="A2539" s="46"/>
      <c r="B2539" s="46"/>
      <c r="C2539" s="47"/>
    </row>
    <row r="2540" spans="1:3" x14ac:dyDescent="0.25">
      <c r="A2540" s="46"/>
      <c r="B2540" s="46"/>
      <c r="C2540" s="47"/>
    </row>
    <row r="2541" spans="1:3" x14ac:dyDescent="0.25">
      <c r="A2541" s="46"/>
      <c r="B2541" s="46"/>
      <c r="C2541" s="47"/>
    </row>
    <row r="2542" spans="1:3" x14ac:dyDescent="0.25">
      <c r="A2542" s="46"/>
      <c r="B2542" s="46"/>
      <c r="C2542" s="47"/>
    </row>
    <row r="2543" spans="1:3" x14ac:dyDescent="0.25">
      <c r="A2543" s="46"/>
      <c r="B2543" s="46"/>
      <c r="C2543" s="47"/>
    </row>
    <row r="2544" spans="1:3" x14ac:dyDescent="0.25">
      <c r="A2544" s="46"/>
      <c r="B2544" s="46"/>
      <c r="C2544" s="47"/>
    </row>
    <row r="2545" spans="1:3" x14ac:dyDescent="0.25">
      <c r="A2545" s="46"/>
      <c r="B2545" s="46"/>
      <c r="C2545" s="47"/>
    </row>
    <row r="2546" spans="1:3" x14ac:dyDescent="0.25">
      <c r="A2546" s="46"/>
      <c r="B2546" s="46"/>
      <c r="C2546" s="47"/>
    </row>
    <row r="2547" spans="1:3" x14ac:dyDescent="0.25">
      <c r="A2547" s="46"/>
      <c r="B2547" s="46"/>
      <c r="C2547" s="47"/>
    </row>
    <row r="2548" spans="1:3" x14ac:dyDescent="0.25">
      <c r="A2548" s="46"/>
      <c r="B2548" s="46"/>
      <c r="C2548" s="47"/>
    </row>
    <row r="2549" spans="1:3" x14ac:dyDescent="0.25">
      <c r="A2549" s="46"/>
      <c r="B2549" s="46"/>
      <c r="C2549" s="47"/>
    </row>
    <row r="2550" spans="1:3" x14ac:dyDescent="0.25">
      <c r="A2550" s="46"/>
      <c r="B2550" s="46"/>
      <c r="C2550" s="47"/>
    </row>
    <row r="2551" spans="1:3" x14ac:dyDescent="0.25">
      <c r="A2551" s="46"/>
      <c r="B2551" s="46"/>
      <c r="C2551" s="47"/>
    </row>
    <row r="2552" spans="1:3" x14ac:dyDescent="0.25">
      <c r="A2552" s="46"/>
      <c r="B2552" s="46"/>
      <c r="C2552" s="47"/>
    </row>
    <row r="2553" spans="1:3" x14ac:dyDescent="0.25">
      <c r="A2553" s="46"/>
      <c r="B2553" s="46"/>
      <c r="C2553" s="47"/>
    </row>
    <row r="2554" spans="1:3" x14ac:dyDescent="0.25">
      <c r="A2554" s="46"/>
      <c r="B2554" s="46"/>
      <c r="C2554" s="47"/>
    </row>
    <row r="2555" spans="1:3" x14ac:dyDescent="0.25">
      <c r="A2555" s="46"/>
      <c r="B2555" s="46"/>
      <c r="C2555" s="47"/>
    </row>
    <row r="2556" spans="1:3" x14ac:dyDescent="0.25">
      <c r="A2556" s="46"/>
      <c r="B2556" s="46"/>
      <c r="C2556" s="47"/>
    </row>
    <row r="2557" spans="1:3" x14ac:dyDescent="0.25">
      <c r="A2557" s="46"/>
      <c r="B2557" s="46"/>
      <c r="C2557" s="47"/>
    </row>
    <row r="2558" spans="1:3" x14ac:dyDescent="0.25">
      <c r="A2558" s="46"/>
      <c r="B2558" s="46"/>
      <c r="C2558" s="47"/>
    </row>
    <row r="2559" spans="1:3" x14ac:dyDescent="0.25">
      <c r="A2559" s="46"/>
      <c r="B2559" s="46"/>
      <c r="C2559" s="47"/>
    </row>
    <row r="2560" spans="1:3" x14ac:dyDescent="0.25">
      <c r="A2560" s="46"/>
      <c r="B2560" s="46"/>
      <c r="C2560" s="47"/>
    </row>
    <row r="2561" spans="1:3" x14ac:dyDescent="0.25">
      <c r="A2561" s="46"/>
      <c r="B2561" s="46"/>
      <c r="C2561" s="47"/>
    </row>
    <row r="2562" spans="1:3" x14ac:dyDescent="0.25">
      <c r="A2562" s="46"/>
      <c r="B2562" s="46"/>
      <c r="C2562" s="47"/>
    </row>
    <row r="2563" spans="1:3" x14ac:dyDescent="0.25">
      <c r="A2563" s="46"/>
      <c r="B2563" s="46"/>
      <c r="C2563" s="47"/>
    </row>
    <row r="2564" spans="1:3" x14ac:dyDescent="0.25">
      <c r="A2564" s="46"/>
      <c r="B2564" s="46"/>
      <c r="C2564" s="47"/>
    </row>
    <row r="2565" spans="1:3" x14ac:dyDescent="0.25">
      <c r="A2565" s="46"/>
      <c r="B2565" s="46"/>
      <c r="C2565" s="47"/>
    </row>
    <row r="2566" spans="1:3" x14ac:dyDescent="0.25">
      <c r="A2566" s="46"/>
      <c r="B2566" s="46"/>
      <c r="C2566" s="47"/>
    </row>
    <row r="2567" spans="1:3" x14ac:dyDescent="0.25">
      <c r="A2567" s="46"/>
      <c r="B2567" s="46"/>
      <c r="C2567" s="47"/>
    </row>
    <row r="2568" spans="1:3" x14ac:dyDescent="0.25">
      <c r="A2568" s="46"/>
      <c r="B2568" s="46"/>
      <c r="C2568" s="47"/>
    </row>
    <row r="2569" spans="1:3" x14ac:dyDescent="0.25">
      <c r="A2569" s="46"/>
      <c r="B2569" s="46"/>
      <c r="C2569" s="47"/>
    </row>
    <row r="2570" spans="1:3" x14ac:dyDescent="0.25">
      <c r="A2570" s="46"/>
      <c r="B2570" s="46"/>
      <c r="C2570" s="47"/>
    </row>
    <row r="2571" spans="1:3" x14ac:dyDescent="0.25">
      <c r="A2571" s="46"/>
      <c r="B2571" s="46"/>
      <c r="C2571" s="47"/>
    </row>
    <row r="2572" spans="1:3" x14ac:dyDescent="0.25">
      <c r="A2572" s="46"/>
      <c r="B2572" s="46"/>
      <c r="C2572" s="47"/>
    </row>
    <row r="2573" spans="1:3" x14ac:dyDescent="0.25">
      <c r="A2573" s="46"/>
      <c r="B2573" s="46"/>
      <c r="C2573" s="47"/>
    </row>
    <row r="2574" spans="1:3" x14ac:dyDescent="0.25">
      <c r="A2574" s="46"/>
      <c r="B2574" s="46"/>
      <c r="C2574" s="47"/>
    </row>
    <row r="2575" spans="1:3" x14ac:dyDescent="0.25">
      <c r="A2575" s="46"/>
      <c r="B2575" s="46"/>
      <c r="C2575" s="47"/>
    </row>
    <row r="2576" spans="1:3" x14ac:dyDescent="0.25">
      <c r="A2576" s="46"/>
      <c r="B2576" s="46"/>
      <c r="C2576" s="47"/>
    </row>
    <row r="2577" spans="1:3" x14ac:dyDescent="0.25">
      <c r="A2577" s="46"/>
      <c r="B2577" s="46"/>
      <c r="C2577" s="47"/>
    </row>
    <row r="2578" spans="1:3" x14ac:dyDescent="0.25">
      <c r="A2578" s="46"/>
      <c r="B2578" s="46"/>
      <c r="C2578" s="47"/>
    </row>
    <row r="2579" spans="1:3" x14ac:dyDescent="0.25">
      <c r="A2579" s="46"/>
      <c r="B2579" s="46"/>
      <c r="C2579" s="47"/>
    </row>
    <row r="2580" spans="1:3" x14ac:dyDescent="0.25">
      <c r="A2580" s="46"/>
      <c r="B2580" s="46"/>
      <c r="C2580" s="47"/>
    </row>
    <row r="2581" spans="1:3" x14ac:dyDescent="0.25">
      <c r="A2581" s="46"/>
      <c r="B2581" s="46"/>
      <c r="C2581" s="47"/>
    </row>
    <row r="2582" spans="1:3" x14ac:dyDescent="0.25">
      <c r="A2582" s="46"/>
      <c r="B2582" s="46"/>
      <c r="C2582" s="47"/>
    </row>
    <row r="2583" spans="1:3" x14ac:dyDescent="0.25">
      <c r="A2583" s="46"/>
      <c r="B2583" s="46"/>
      <c r="C2583" s="47"/>
    </row>
    <row r="2584" spans="1:3" x14ac:dyDescent="0.25">
      <c r="A2584" s="46"/>
      <c r="B2584" s="46"/>
      <c r="C2584" s="47"/>
    </row>
    <row r="2585" spans="1:3" x14ac:dyDescent="0.25">
      <c r="A2585" s="46"/>
      <c r="B2585" s="46"/>
      <c r="C2585" s="47"/>
    </row>
    <row r="2586" spans="1:3" x14ac:dyDescent="0.25">
      <c r="A2586" s="46"/>
      <c r="B2586" s="46"/>
      <c r="C2586" s="47"/>
    </row>
    <row r="2587" spans="1:3" x14ac:dyDescent="0.25">
      <c r="A2587" s="46"/>
      <c r="B2587" s="46"/>
      <c r="C2587" s="47"/>
    </row>
    <row r="2588" spans="1:3" x14ac:dyDescent="0.25">
      <c r="A2588" s="46"/>
      <c r="B2588" s="46"/>
      <c r="C2588" s="47"/>
    </row>
    <row r="2589" spans="1:3" x14ac:dyDescent="0.25">
      <c r="A2589" s="46"/>
      <c r="B2589" s="46"/>
      <c r="C2589" s="47"/>
    </row>
    <row r="2590" spans="1:3" x14ac:dyDescent="0.25">
      <c r="A2590" s="46"/>
      <c r="B2590" s="46"/>
      <c r="C2590" s="47"/>
    </row>
    <row r="2591" spans="1:3" x14ac:dyDescent="0.25">
      <c r="A2591" s="46"/>
      <c r="B2591" s="46"/>
      <c r="C2591" s="47"/>
    </row>
    <row r="2592" spans="1:3" x14ac:dyDescent="0.25">
      <c r="A2592" s="46"/>
      <c r="B2592" s="46"/>
      <c r="C2592" s="47"/>
    </row>
    <row r="2593" spans="1:3" x14ac:dyDescent="0.25">
      <c r="A2593" s="46"/>
      <c r="B2593" s="46"/>
      <c r="C2593" s="47"/>
    </row>
    <row r="2594" spans="1:3" x14ac:dyDescent="0.25">
      <c r="A2594" s="46"/>
      <c r="B2594" s="46"/>
      <c r="C2594" s="47"/>
    </row>
    <row r="2595" spans="1:3" x14ac:dyDescent="0.25">
      <c r="A2595" s="46"/>
      <c r="B2595" s="46"/>
      <c r="C2595" s="47"/>
    </row>
    <row r="2596" spans="1:3" x14ac:dyDescent="0.25">
      <c r="A2596" s="46"/>
      <c r="B2596" s="46"/>
      <c r="C2596" s="47"/>
    </row>
    <row r="2597" spans="1:3" x14ac:dyDescent="0.25">
      <c r="A2597" s="46"/>
      <c r="B2597" s="46"/>
      <c r="C2597" s="47"/>
    </row>
    <row r="2598" spans="1:3" x14ac:dyDescent="0.25">
      <c r="A2598" s="46"/>
      <c r="B2598" s="46"/>
      <c r="C2598" s="47"/>
    </row>
    <row r="2599" spans="1:3" x14ac:dyDescent="0.25">
      <c r="A2599" s="46"/>
      <c r="B2599" s="46"/>
      <c r="C2599" s="47"/>
    </row>
    <row r="2600" spans="1:3" x14ac:dyDescent="0.25">
      <c r="A2600" s="46"/>
      <c r="B2600" s="46"/>
      <c r="C2600" s="47"/>
    </row>
    <row r="2601" spans="1:3" x14ac:dyDescent="0.25">
      <c r="A2601" s="46"/>
      <c r="B2601" s="46"/>
      <c r="C2601" s="47"/>
    </row>
    <row r="2602" spans="1:3" x14ac:dyDescent="0.25">
      <c r="A2602" s="46"/>
      <c r="B2602" s="46"/>
      <c r="C2602" s="47"/>
    </row>
    <row r="2603" spans="1:3" x14ac:dyDescent="0.25">
      <c r="A2603" s="46"/>
      <c r="B2603" s="46"/>
      <c r="C2603" s="47"/>
    </row>
    <row r="2604" spans="1:3" x14ac:dyDescent="0.25">
      <c r="A2604" s="46"/>
      <c r="B2604" s="46"/>
      <c r="C2604" s="47"/>
    </row>
    <row r="2605" spans="1:3" x14ac:dyDescent="0.25">
      <c r="A2605" s="46"/>
      <c r="B2605" s="46"/>
      <c r="C2605" s="47"/>
    </row>
    <row r="2606" spans="1:3" x14ac:dyDescent="0.25">
      <c r="A2606" s="46"/>
      <c r="B2606" s="46"/>
      <c r="C2606" s="47"/>
    </row>
    <row r="2607" spans="1:3" x14ac:dyDescent="0.25">
      <c r="A2607" s="46"/>
      <c r="B2607" s="46"/>
      <c r="C2607" s="47"/>
    </row>
    <row r="2608" spans="1:3" x14ac:dyDescent="0.25">
      <c r="A2608" s="46"/>
      <c r="B2608" s="46"/>
      <c r="C2608" s="47"/>
    </row>
    <row r="2609" spans="1:3" x14ac:dyDescent="0.25">
      <c r="A2609" s="46"/>
      <c r="B2609" s="46"/>
      <c r="C2609" s="47"/>
    </row>
    <row r="2610" spans="1:3" x14ac:dyDescent="0.25">
      <c r="A2610" s="46"/>
      <c r="B2610" s="46"/>
      <c r="C2610" s="47"/>
    </row>
    <row r="2611" spans="1:3" x14ac:dyDescent="0.25">
      <c r="A2611" s="46"/>
      <c r="B2611" s="46"/>
      <c r="C2611" s="47"/>
    </row>
    <row r="2612" spans="1:3" x14ac:dyDescent="0.25">
      <c r="A2612" s="46"/>
      <c r="B2612" s="46"/>
      <c r="C2612" s="47"/>
    </row>
    <row r="2613" spans="1:3" x14ac:dyDescent="0.25">
      <c r="A2613" s="46"/>
      <c r="B2613" s="46"/>
      <c r="C2613" s="47"/>
    </row>
    <row r="2614" spans="1:3" x14ac:dyDescent="0.25">
      <c r="A2614" s="46"/>
      <c r="B2614" s="46"/>
      <c r="C2614" s="47"/>
    </row>
    <row r="2615" spans="1:3" x14ac:dyDescent="0.25">
      <c r="A2615" s="46"/>
      <c r="B2615" s="46"/>
      <c r="C2615" s="47"/>
    </row>
    <row r="2616" spans="1:3" x14ac:dyDescent="0.25">
      <c r="A2616" s="46"/>
      <c r="B2616" s="46"/>
      <c r="C2616" s="47"/>
    </row>
    <row r="2617" spans="1:3" x14ac:dyDescent="0.25">
      <c r="A2617" s="46"/>
      <c r="B2617" s="46"/>
      <c r="C2617" s="47"/>
    </row>
    <row r="2618" spans="1:3" x14ac:dyDescent="0.25">
      <c r="A2618" s="46"/>
      <c r="B2618" s="46"/>
      <c r="C2618" s="47"/>
    </row>
    <row r="2619" spans="1:3" x14ac:dyDescent="0.25">
      <c r="A2619" s="46"/>
      <c r="B2619" s="46"/>
      <c r="C2619" s="47"/>
    </row>
    <row r="2620" spans="1:3" x14ac:dyDescent="0.25">
      <c r="A2620" s="46"/>
      <c r="B2620" s="46"/>
      <c r="C2620" s="47"/>
    </row>
    <row r="2621" spans="1:3" x14ac:dyDescent="0.25">
      <c r="A2621" s="46"/>
      <c r="B2621" s="46"/>
      <c r="C2621" s="47"/>
    </row>
    <row r="2622" spans="1:3" x14ac:dyDescent="0.25">
      <c r="A2622" s="46"/>
      <c r="B2622" s="46"/>
      <c r="C2622" s="47"/>
    </row>
    <row r="2623" spans="1:3" x14ac:dyDescent="0.25">
      <c r="A2623" s="46"/>
      <c r="B2623" s="46"/>
      <c r="C2623" s="47"/>
    </row>
    <row r="2624" spans="1:3" x14ac:dyDescent="0.25">
      <c r="A2624" s="46"/>
      <c r="B2624" s="46"/>
      <c r="C2624" s="47"/>
    </row>
    <row r="2625" spans="1:3" x14ac:dyDescent="0.25">
      <c r="A2625" s="46"/>
      <c r="B2625" s="46"/>
      <c r="C2625" s="47"/>
    </row>
    <row r="2626" spans="1:3" x14ac:dyDescent="0.25">
      <c r="A2626" s="46"/>
      <c r="B2626" s="46"/>
      <c r="C2626" s="47"/>
    </row>
    <row r="2627" spans="1:3" x14ac:dyDescent="0.25">
      <c r="A2627" s="46"/>
      <c r="B2627" s="46"/>
      <c r="C2627" s="47"/>
    </row>
    <row r="2628" spans="1:3" x14ac:dyDescent="0.25">
      <c r="A2628" s="46"/>
      <c r="B2628" s="46"/>
      <c r="C2628" s="47"/>
    </row>
    <row r="2629" spans="1:3" x14ac:dyDescent="0.25">
      <c r="A2629" s="46"/>
      <c r="B2629" s="46"/>
      <c r="C2629" s="47"/>
    </row>
    <row r="2630" spans="1:3" x14ac:dyDescent="0.25">
      <c r="A2630" s="46"/>
      <c r="B2630" s="46"/>
      <c r="C2630" s="47"/>
    </row>
    <row r="2631" spans="1:3" x14ac:dyDescent="0.25">
      <c r="A2631" s="46"/>
      <c r="B2631" s="46"/>
      <c r="C2631" s="47"/>
    </row>
    <row r="2632" spans="1:3" x14ac:dyDescent="0.25">
      <c r="A2632" s="46"/>
      <c r="B2632" s="46"/>
      <c r="C2632" s="47"/>
    </row>
    <row r="2633" spans="1:3" x14ac:dyDescent="0.25">
      <c r="A2633" s="46"/>
      <c r="B2633" s="46"/>
      <c r="C2633" s="47"/>
    </row>
    <row r="2634" spans="1:3" x14ac:dyDescent="0.25">
      <c r="A2634" s="46"/>
      <c r="B2634" s="46"/>
      <c r="C2634" s="47"/>
    </row>
    <row r="2635" spans="1:3" x14ac:dyDescent="0.25">
      <c r="A2635" s="46"/>
      <c r="B2635" s="46"/>
      <c r="C2635" s="47"/>
    </row>
    <row r="2636" spans="1:3" x14ac:dyDescent="0.25">
      <c r="A2636" s="46"/>
      <c r="B2636" s="46"/>
      <c r="C2636" s="47"/>
    </row>
    <row r="2637" spans="1:3" x14ac:dyDescent="0.25">
      <c r="A2637" s="46"/>
      <c r="B2637" s="46"/>
      <c r="C2637" s="47"/>
    </row>
    <row r="2638" spans="1:3" x14ac:dyDescent="0.25">
      <c r="A2638" s="46"/>
      <c r="B2638" s="46"/>
      <c r="C2638" s="47"/>
    </row>
    <row r="2639" spans="1:3" x14ac:dyDescent="0.25">
      <c r="A2639" s="46"/>
      <c r="B2639" s="46"/>
      <c r="C2639" s="47"/>
    </row>
    <row r="2640" spans="1:3" x14ac:dyDescent="0.25">
      <c r="A2640" s="46"/>
      <c r="B2640" s="46"/>
      <c r="C2640" s="47"/>
    </row>
    <row r="2641" spans="1:3" x14ac:dyDescent="0.25">
      <c r="A2641" s="46"/>
      <c r="B2641" s="46"/>
      <c r="C2641" s="47"/>
    </row>
    <row r="2642" spans="1:3" x14ac:dyDescent="0.25">
      <c r="A2642" s="46"/>
      <c r="B2642" s="46"/>
      <c r="C2642" s="47"/>
    </row>
    <row r="2643" spans="1:3" x14ac:dyDescent="0.25">
      <c r="A2643" s="46"/>
      <c r="B2643" s="46"/>
      <c r="C2643" s="47"/>
    </row>
    <row r="2644" spans="1:3" x14ac:dyDescent="0.25">
      <c r="A2644" s="46"/>
      <c r="B2644" s="46"/>
      <c r="C2644" s="47"/>
    </row>
    <row r="2645" spans="1:3" x14ac:dyDescent="0.25">
      <c r="A2645" s="46"/>
      <c r="B2645" s="46"/>
      <c r="C2645" s="47"/>
    </row>
    <row r="2646" spans="1:3" x14ac:dyDescent="0.25">
      <c r="A2646" s="46"/>
      <c r="B2646" s="46"/>
      <c r="C2646" s="47"/>
    </row>
    <row r="2647" spans="1:3" x14ac:dyDescent="0.25">
      <c r="A2647" s="46"/>
      <c r="B2647" s="46"/>
      <c r="C2647" s="47"/>
    </row>
    <row r="2648" spans="1:3" x14ac:dyDescent="0.25">
      <c r="A2648" s="46"/>
      <c r="B2648" s="46"/>
      <c r="C2648" s="47"/>
    </row>
    <row r="2649" spans="1:3" x14ac:dyDescent="0.25">
      <c r="A2649" s="46"/>
      <c r="B2649" s="46"/>
      <c r="C2649" s="47"/>
    </row>
    <row r="2650" spans="1:3" x14ac:dyDescent="0.25">
      <c r="A2650" s="46"/>
      <c r="B2650" s="46"/>
      <c r="C2650" s="47"/>
    </row>
    <row r="2651" spans="1:3" x14ac:dyDescent="0.25">
      <c r="A2651" s="46"/>
      <c r="B2651" s="46"/>
      <c r="C2651" s="47"/>
    </row>
    <row r="2652" spans="1:3" x14ac:dyDescent="0.25">
      <c r="A2652" s="46"/>
      <c r="B2652" s="46"/>
      <c r="C2652" s="47"/>
    </row>
    <row r="2653" spans="1:3" x14ac:dyDescent="0.25">
      <c r="A2653" s="46"/>
      <c r="B2653" s="46"/>
      <c r="C2653" s="47"/>
    </row>
    <row r="2654" spans="1:3" x14ac:dyDescent="0.25">
      <c r="A2654" s="46"/>
      <c r="B2654" s="46"/>
      <c r="C2654" s="47"/>
    </row>
    <row r="2655" spans="1:3" x14ac:dyDescent="0.25">
      <c r="A2655" s="46"/>
      <c r="B2655" s="46"/>
      <c r="C2655" s="47"/>
    </row>
    <row r="2656" spans="1:3" x14ac:dyDescent="0.25">
      <c r="A2656" s="46"/>
      <c r="B2656" s="46"/>
      <c r="C2656" s="47"/>
    </row>
    <row r="2657" spans="1:3" x14ac:dyDescent="0.25">
      <c r="A2657" s="46"/>
      <c r="B2657" s="46"/>
      <c r="C2657" s="47"/>
    </row>
    <row r="2658" spans="1:3" x14ac:dyDescent="0.25">
      <c r="A2658" s="46"/>
      <c r="B2658" s="46"/>
      <c r="C2658" s="47"/>
    </row>
    <row r="2659" spans="1:3" x14ac:dyDescent="0.25">
      <c r="A2659" s="46"/>
      <c r="B2659" s="46"/>
      <c r="C2659" s="47"/>
    </row>
    <row r="2660" spans="1:3" x14ac:dyDescent="0.25">
      <c r="A2660" s="46"/>
      <c r="B2660" s="46"/>
      <c r="C2660" s="47"/>
    </row>
    <row r="2661" spans="1:3" x14ac:dyDescent="0.25">
      <c r="A2661" s="46"/>
      <c r="B2661" s="46"/>
      <c r="C2661" s="47"/>
    </row>
    <row r="2662" spans="1:3" x14ac:dyDescent="0.25">
      <c r="A2662" s="46"/>
      <c r="B2662" s="46"/>
      <c r="C2662" s="47"/>
    </row>
    <row r="2663" spans="1:3" x14ac:dyDescent="0.25">
      <c r="A2663" s="46"/>
      <c r="B2663" s="46"/>
      <c r="C2663" s="47"/>
    </row>
    <row r="2664" spans="1:3" x14ac:dyDescent="0.25">
      <c r="A2664" s="46"/>
      <c r="B2664" s="46"/>
      <c r="C2664" s="47"/>
    </row>
    <row r="2665" spans="1:3" x14ac:dyDescent="0.25">
      <c r="A2665" s="46"/>
      <c r="B2665" s="46"/>
      <c r="C2665" s="47"/>
    </row>
    <row r="2666" spans="1:3" x14ac:dyDescent="0.25">
      <c r="A2666" s="46"/>
      <c r="B2666" s="46"/>
      <c r="C2666" s="47"/>
    </row>
    <row r="2667" spans="1:3" x14ac:dyDescent="0.25">
      <c r="A2667" s="46"/>
      <c r="B2667" s="46"/>
      <c r="C2667" s="47"/>
    </row>
    <row r="2668" spans="1:3" x14ac:dyDescent="0.25">
      <c r="A2668" s="46"/>
      <c r="B2668" s="46"/>
      <c r="C2668" s="47"/>
    </row>
    <row r="2669" spans="1:3" x14ac:dyDescent="0.25">
      <c r="A2669" s="46"/>
      <c r="B2669" s="46"/>
      <c r="C2669" s="47"/>
    </row>
    <row r="2670" spans="1:3" x14ac:dyDescent="0.25">
      <c r="A2670" s="46"/>
      <c r="B2670" s="46"/>
      <c r="C2670" s="47"/>
    </row>
    <row r="2671" spans="1:3" x14ac:dyDescent="0.25">
      <c r="A2671" s="46"/>
      <c r="B2671" s="46"/>
      <c r="C2671" s="47"/>
    </row>
    <row r="2672" spans="1:3" x14ac:dyDescent="0.25">
      <c r="A2672" s="46"/>
      <c r="B2672" s="46"/>
      <c r="C2672" s="47"/>
    </row>
    <row r="2673" spans="1:3" x14ac:dyDescent="0.25">
      <c r="A2673" s="46"/>
      <c r="B2673" s="46"/>
      <c r="C2673" s="47"/>
    </row>
    <row r="2674" spans="1:3" x14ac:dyDescent="0.25">
      <c r="A2674" s="46"/>
      <c r="B2674" s="46"/>
      <c r="C2674" s="47"/>
    </row>
    <row r="2675" spans="1:3" x14ac:dyDescent="0.25">
      <c r="A2675" s="46"/>
      <c r="B2675" s="46"/>
      <c r="C2675" s="47"/>
    </row>
    <row r="2676" spans="1:3" x14ac:dyDescent="0.25">
      <c r="A2676" s="46"/>
      <c r="B2676" s="46"/>
      <c r="C2676" s="47"/>
    </row>
    <row r="2677" spans="1:3" x14ac:dyDescent="0.25">
      <c r="A2677" s="46"/>
      <c r="B2677" s="46"/>
      <c r="C2677" s="47"/>
    </row>
    <row r="2678" spans="1:3" x14ac:dyDescent="0.25">
      <c r="A2678" s="46"/>
      <c r="B2678" s="46"/>
      <c r="C2678" s="47"/>
    </row>
    <row r="2679" spans="1:3" x14ac:dyDescent="0.25">
      <c r="A2679" s="46"/>
      <c r="B2679" s="46"/>
      <c r="C2679" s="47"/>
    </row>
    <row r="2680" spans="1:3" x14ac:dyDescent="0.25">
      <c r="A2680" s="46"/>
      <c r="B2680" s="46"/>
      <c r="C2680" s="47"/>
    </row>
    <row r="2681" spans="1:3" x14ac:dyDescent="0.25">
      <c r="A2681" s="46"/>
      <c r="B2681" s="46"/>
      <c r="C2681" s="47"/>
    </row>
    <row r="2682" spans="1:3" x14ac:dyDescent="0.25">
      <c r="A2682" s="46"/>
      <c r="B2682" s="46"/>
      <c r="C2682" s="47"/>
    </row>
    <row r="2683" spans="1:3" x14ac:dyDescent="0.25">
      <c r="A2683" s="46"/>
      <c r="B2683" s="46"/>
      <c r="C2683" s="47"/>
    </row>
    <row r="2684" spans="1:3" x14ac:dyDescent="0.25">
      <c r="A2684" s="46"/>
      <c r="B2684" s="46"/>
      <c r="C2684" s="47"/>
    </row>
    <row r="2685" spans="1:3" x14ac:dyDescent="0.25">
      <c r="A2685" s="46"/>
      <c r="B2685" s="46"/>
      <c r="C2685" s="47"/>
    </row>
    <row r="2686" spans="1:3" x14ac:dyDescent="0.25">
      <c r="A2686" s="46"/>
      <c r="B2686" s="46"/>
      <c r="C2686" s="47"/>
    </row>
    <row r="2687" spans="1:3" x14ac:dyDescent="0.25">
      <c r="A2687" s="46"/>
      <c r="B2687" s="46"/>
      <c r="C2687" s="47"/>
    </row>
    <row r="2688" spans="1:3" x14ac:dyDescent="0.25">
      <c r="A2688" s="46"/>
      <c r="B2688" s="46"/>
      <c r="C2688" s="47"/>
    </row>
    <row r="2689" spans="1:3" x14ac:dyDescent="0.25">
      <c r="A2689" s="46"/>
      <c r="B2689" s="46"/>
      <c r="C2689" s="47"/>
    </row>
    <row r="2690" spans="1:3" x14ac:dyDescent="0.25">
      <c r="A2690" s="46"/>
      <c r="B2690" s="46"/>
      <c r="C2690" s="47"/>
    </row>
    <row r="2691" spans="1:3" x14ac:dyDescent="0.25">
      <c r="A2691" s="46"/>
      <c r="B2691" s="46"/>
      <c r="C2691" s="47"/>
    </row>
    <row r="2692" spans="1:3" x14ac:dyDescent="0.25">
      <c r="A2692" s="46"/>
      <c r="B2692" s="46"/>
      <c r="C2692" s="47"/>
    </row>
    <row r="2693" spans="1:3" x14ac:dyDescent="0.25">
      <c r="A2693" s="46"/>
      <c r="B2693" s="46"/>
      <c r="C2693" s="47"/>
    </row>
    <row r="2694" spans="1:3" x14ac:dyDescent="0.25">
      <c r="A2694" s="46"/>
      <c r="B2694" s="46"/>
      <c r="C2694" s="47"/>
    </row>
    <row r="2695" spans="1:3" x14ac:dyDescent="0.25">
      <c r="A2695" s="46"/>
      <c r="B2695" s="46"/>
      <c r="C2695" s="47"/>
    </row>
    <row r="2696" spans="1:3" x14ac:dyDescent="0.25">
      <c r="A2696" s="46"/>
      <c r="B2696" s="46"/>
      <c r="C2696" s="47"/>
    </row>
    <row r="2697" spans="1:3" x14ac:dyDescent="0.25">
      <c r="A2697" s="46"/>
      <c r="B2697" s="46"/>
      <c r="C2697" s="47"/>
    </row>
    <row r="2698" spans="1:3" x14ac:dyDescent="0.25">
      <c r="A2698" s="46"/>
      <c r="B2698" s="46"/>
      <c r="C2698" s="47"/>
    </row>
    <row r="2699" spans="1:3" x14ac:dyDescent="0.25">
      <c r="A2699" s="46"/>
      <c r="B2699" s="46"/>
      <c r="C2699" s="47"/>
    </row>
    <row r="2700" spans="1:3" x14ac:dyDescent="0.25">
      <c r="A2700" s="46"/>
      <c r="B2700" s="46"/>
      <c r="C2700" s="47"/>
    </row>
    <row r="2701" spans="1:3" x14ac:dyDescent="0.25">
      <c r="A2701" s="46"/>
      <c r="B2701" s="46"/>
      <c r="C2701" s="47"/>
    </row>
    <row r="2702" spans="1:3" x14ac:dyDescent="0.25">
      <c r="A2702" s="46"/>
      <c r="B2702" s="46"/>
      <c r="C2702" s="47"/>
    </row>
    <row r="2703" spans="1:3" x14ac:dyDescent="0.25">
      <c r="A2703" s="46"/>
      <c r="B2703" s="46"/>
      <c r="C2703" s="47"/>
    </row>
    <row r="2704" spans="1:3" x14ac:dyDescent="0.25">
      <c r="A2704" s="46"/>
      <c r="B2704" s="46"/>
      <c r="C2704" s="47"/>
    </row>
    <row r="2705" spans="1:3" x14ac:dyDescent="0.25">
      <c r="A2705" s="46"/>
      <c r="B2705" s="46"/>
      <c r="C2705" s="47"/>
    </row>
    <row r="2706" spans="1:3" x14ac:dyDescent="0.25">
      <c r="A2706" s="46"/>
      <c r="B2706" s="46"/>
      <c r="C2706" s="47"/>
    </row>
    <row r="2707" spans="1:3" x14ac:dyDescent="0.25">
      <c r="A2707" s="46"/>
      <c r="B2707" s="46"/>
      <c r="C2707" s="47"/>
    </row>
    <row r="2708" spans="1:3" x14ac:dyDescent="0.25">
      <c r="A2708" s="46"/>
      <c r="B2708" s="46"/>
      <c r="C2708" s="47"/>
    </row>
    <row r="2709" spans="1:3" x14ac:dyDescent="0.25">
      <c r="A2709" s="46"/>
      <c r="B2709" s="46"/>
      <c r="C2709" s="47"/>
    </row>
    <row r="2710" spans="1:3" x14ac:dyDescent="0.25">
      <c r="A2710" s="46"/>
      <c r="B2710" s="46"/>
      <c r="C2710" s="47"/>
    </row>
    <row r="2711" spans="1:3" x14ac:dyDescent="0.25">
      <c r="A2711" s="46"/>
      <c r="B2711" s="46"/>
      <c r="C2711" s="47"/>
    </row>
    <row r="2712" spans="1:3" x14ac:dyDescent="0.25">
      <c r="A2712" s="46"/>
      <c r="B2712" s="46"/>
      <c r="C2712" s="47"/>
    </row>
    <row r="2713" spans="1:3" x14ac:dyDescent="0.25">
      <c r="A2713" s="46"/>
      <c r="B2713" s="46"/>
      <c r="C2713" s="47"/>
    </row>
    <row r="2714" spans="1:3" x14ac:dyDescent="0.25">
      <c r="A2714" s="46"/>
      <c r="B2714" s="46"/>
      <c r="C2714" s="47"/>
    </row>
    <row r="2715" spans="1:3" x14ac:dyDescent="0.25">
      <c r="A2715" s="46"/>
      <c r="B2715" s="46"/>
      <c r="C2715" s="47"/>
    </row>
    <row r="2716" spans="1:3" x14ac:dyDescent="0.25">
      <c r="A2716" s="46"/>
      <c r="B2716" s="46"/>
      <c r="C2716" s="47"/>
    </row>
    <row r="2717" spans="1:3" x14ac:dyDescent="0.25">
      <c r="A2717" s="46"/>
      <c r="B2717" s="46"/>
      <c r="C2717" s="47"/>
    </row>
    <row r="2718" spans="1:3" x14ac:dyDescent="0.25">
      <c r="A2718" s="46"/>
      <c r="B2718" s="46"/>
      <c r="C2718" s="47"/>
    </row>
    <row r="2719" spans="1:3" x14ac:dyDescent="0.25">
      <c r="A2719" s="46"/>
      <c r="B2719" s="46"/>
      <c r="C2719" s="47"/>
    </row>
    <row r="2720" spans="1:3" x14ac:dyDescent="0.25">
      <c r="A2720" s="46"/>
      <c r="B2720" s="46"/>
      <c r="C2720" s="47"/>
    </row>
    <row r="2721" spans="1:3" x14ac:dyDescent="0.25">
      <c r="A2721" s="46"/>
      <c r="B2721" s="46"/>
      <c r="C2721" s="47"/>
    </row>
    <row r="2722" spans="1:3" x14ac:dyDescent="0.25">
      <c r="A2722" s="46"/>
      <c r="B2722" s="46"/>
      <c r="C2722" s="47"/>
    </row>
    <row r="2723" spans="1:3" x14ac:dyDescent="0.25">
      <c r="A2723" s="46"/>
      <c r="B2723" s="46"/>
      <c r="C2723" s="47"/>
    </row>
    <row r="2724" spans="1:3" x14ac:dyDescent="0.25">
      <c r="A2724" s="46"/>
      <c r="B2724" s="46"/>
      <c r="C2724" s="47"/>
    </row>
    <row r="2725" spans="1:3" x14ac:dyDescent="0.25">
      <c r="A2725" s="46"/>
      <c r="B2725" s="46"/>
      <c r="C2725" s="47"/>
    </row>
    <row r="2726" spans="1:3" x14ac:dyDescent="0.25">
      <c r="A2726" s="46"/>
      <c r="B2726" s="46"/>
      <c r="C2726" s="47"/>
    </row>
    <row r="2727" spans="1:3" x14ac:dyDescent="0.25">
      <c r="A2727" s="46"/>
      <c r="B2727" s="46"/>
      <c r="C2727" s="47"/>
    </row>
    <row r="2728" spans="1:3" x14ac:dyDescent="0.25">
      <c r="A2728" s="46"/>
      <c r="B2728" s="46"/>
      <c r="C2728" s="47"/>
    </row>
    <row r="2729" spans="1:3" x14ac:dyDescent="0.25">
      <c r="A2729" s="46"/>
      <c r="B2729" s="46"/>
      <c r="C2729" s="47"/>
    </row>
    <row r="2730" spans="1:3" x14ac:dyDescent="0.25">
      <c r="A2730" s="46"/>
      <c r="B2730" s="46"/>
      <c r="C2730" s="47"/>
    </row>
    <row r="2731" spans="1:3" x14ac:dyDescent="0.25">
      <c r="A2731" s="46"/>
      <c r="B2731" s="46"/>
      <c r="C2731" s="47"/>
    </row>
    <row r="2732" spans="1:3" x14ac:dyDescent="0.25">
      <c r="A2732" s="46"/>
      <c r="B2732" s="46"/>
      <c r="C2732" s="47"/>
    </row>
    <row r="2733" spans="1:3" x14ac:dyDescent="0.25">
      <c r="A2733" s="46"/>
      <c r="B2733" s="46"/>
      <c r="C2733" s="47"/>
    </row>
    <row r="2734" spans="1:3" x14ac:dyDescent="0.25">
      <c r="A2734" s="46"/>
      <c r="B2734" s="46"/>
      <c r="C2734" s="47"/>
    </row>
    <row r="2735" spans="1:3" x14ac:dyDescent="0.25">
      <c r="A2735" s="46"/>
      <c r="B2735" s="46"/>
      <c r="C2735" s="47"/>
    </row>
    <row r="2736" spans="1:3" x14ac:dyDescent="0.25">
      <c r="A2736" s="46"/>
      <c r="B2736" s="46"/>
      <c r="C2736" s="47"/>
    </row>
    <row r="2737" spans="1:3" x14ac:dyDescent="0.25">
      <c r="A2737" s="46"/>
      <c r="B2737" s="46"/>
      <c r="C2737" s="47"/>
    </row>
    <row r="2738" spans="1:3" x14ac:dyDescent="0.25">
      <c r="A2738" s="46"/>
      <c r="B2738" s="46"/>
      <c r="C2738" s="47"/>
    </row>
    <row r="2739" spans="1:3" x14ac:dyDescent="0.25">
      <c r="A2739" s="46"/>
      <c r="B2739" s="46"/>
      <c r="C2739" s="47"/>
    </row>
    <row r="2740" spans="1:3" x14ac:dyDescent="0.25">
      <c r="A2740" s="46"/>
      <c r="B2740" s="46"/>
      <c r="C2740" s="47"/>
    </row>
    <row r="2741" spans="1:3" x14ac:dyDescent="0.25">
      <c r="A2741" s="46"/>
      <c r="B2741" s="46"/>
      <c r="C2741" s="47"/>
    </row>
    <row r="2742" spans="1:3" x14ac:dyDescent="0.25">
      <c r="A2742" s="46"/>
      <c r="B2742" s="46"/>
      <c r="C2742" s="47"/>
    </row>
    <row r="2743" spans="1:3" x14ac:dyDescent="0.25">
      <c r="A2743" s="46"/>
      <c r="B2743" s="46"/>
      <c r="C2743" s="47"/>
    </row>
    <row r="2744" spans="1:3" x14ac:dyDescent="0.25">
      <c r="A2744" s="46"/>
      <c r="B2744" s="46"/>
      <c r="C2744" s="47"/>
    </row>
    <row r="2745" spans="1:3" x14ac:dyDescent="0.25">
      <c r="A2745" s="46"/>
      <c r="B2745" s="46"/>
      <c r="C2745" s="47"/>
    </row>
    <row r="2746" spans="1:3" x14ac:dyDescent="0.25">
      <c r="A2746" s="46"/>
      <c r="B2746" s="46"/>
      <c r="C2746" s="47"/>
    </row>
    <row r="2747" spans="1:3" x14ac:dyDescent="0.25">
      <c r="A2747" s="46"/>
      <c r="B2747" s="46"/>
      <c r="C2747" s="47"/>
    </row>
    <row r="2748" spans="1:3" x14ac:dyDescent="0.25">
      <c r="A2748" s="46"/>
      <c r="B2748" s="46"/>
      <c r="C2748" s="47"/>
    </row>
    <row r="2749" spans="1:3" x14ac:dyDescent="0.25">
      <c r="A2749" s="46"/>
      <c r="B2749" s="46"/>
      <c r="C2749" s="47"/>
    </row>
    <row r="2750" spans="1:3" x14ac:dyDescent="0.25">
      <c r="A2750" s="46"/>
      <c r="B2750" s="46"/>
      <c r="C2750" s="47"/>
    </row>
    <row r="2751" spans="1:3" x14ac:dyDescent="0.25">
      <c r="A2751" s="46"/>
      <c r="B2751" s="46"/>
      <c r="C2751" s="47"/>
    </row>
    <row r="2752" spans="1:3" x14ac:dyDescent="0.25">
      <c r="A2752" s="46"/>
      <c r="B2752" s="46"/>
      <c r="C2752" s="47"/>
    </row>
    <row r="2753" spans="1:3" x14ac:dyDescent="0.25">
      <c r="A2753" s="46"/>
      <c r="B2753" s="46"/>
      <c r="C2753" s="47"/>
    </row>
    <row r="2754" spans="1:3" x14ac:dyDescent="0.25">
      <c r="A2754" s="46"/>
      <c r="B2754" s="46"/>
      <c r="C2754" s="47"/>
    </row>
    <row r="2755" spans="1:3" x14ac:dyDescent="0.25">
      <c r="A2755" s="46"/>
      <c r="B2755" s="46"/>
      <c r="C2755" s="47"/>
    </row>
    <row r="2756" spans="1:3" x14ac:dyDescent="0.25">
      <c r="A2756" s="46"/>
      <c r="B2756" s="46"/>
      <c r="C2756" s="47"/>
    </row>
    <row r="2757" spans="1:3" x14ac:dyDescent="0.25">
      <c r="A2757" s="46"/>
      <c r="B2757" s="46"/>
      <c r="C2757" s="47"/>
    </row>
    <row r="2758" spans="1:3" x14ac:dyDescent="0.25">
      <c r="A2758" s="46"/>
      <c r="B2758" s="46"/>
      <c r="C2758" s="47"/>
    </row>
    <row r="2759" spans="1:3" x14ac:dyDescent="0.25">
      <c r="A2759" s="46"/>
      <c r="B2759" s="46"/>
      <c r="C2759" s="47"/>
    </row>
    <row r="2760" spans="1:3" x14ac:dyDescent="0.25">
      <c r="A2760" s="46"/>
      <c r="B2760" s="46"/>
      <c r="C2760" s="47"/>
    </row>
    <row r="2761" spans="1:3" x14ac:dyDescent="0.25">
      <c r="A2761" s="46"/>
      <c r="B2761" s="46"/>
      <c r="C2761" s="47"/>
    </row>
    <row r="2762" spans="1:3" x14ac:dyDescent="0.25">
      <c r="A2762" s="46"/>
      <c r="B2762" s="46"/>
      <c r="C2762" s="47"/>
    </row>
    <row r="2763" spans="1:3" x14ac:dyDescent="0.25">
      <c r="A2763" s="46"/>
      <c r="B2763" s="46"/>
      <c r="C2763" s="47"/>
    </row>
    <row r="2764" spans="1:3" x14ac:dyDescent="0.25">
      <c r="A2764" s="46"/>
      <c r="B2764" s="46"/>
      <c r="C2764" s="47"/>
    </row>
    <row r="2765" spans="1:3" x14ac:dyDescent="0.25">
      <c r="A2765" s="46"/>
      <c r="B2765" s="46"/>
      <c r="C2765" s="47"/>
    </row>
    <row r="2766" spans="1:3" x14ac:dyDescent="0.25">
      <c r="A2766" s="46"/>
      <c r="B2766" s="46"/>
      <c r="C2766" s="47"/>
    </row>
    <row r="2767" spans="1:3" x14ac:dyDescent="0.25">
      <c r="A2767" s="46"/>
      <c r="B2767" s="46"/>
      <c r="C2767" s="47"/>
    </row>
    <row r="2768" spans="1:3" x14ac:dyDescent="0.25">
      <c r="A2768" s="46"/>
      <c r="B2768" s="46"/>
      <c r="C2768" s="47"/>
    </row>
    <row r="2769" spans="1:3" x14ac:dyDescent="0.25">
      <c r="A2769" s="46"/>
      <c r="B2769" s="46"/>
      <c r="C2769" s="47"/>
    </row>
    <row r="2770" spans="1:3" x14ac:dyDescent="0.25">
      <c r="A2770" s="46"/>
      <c r="B2770" s="46"/>
      <c r="C2770" s="47"/>
    </row>
    <row r="2771" spans="1:3" x14ac:dyDescent="0.25">
      <c r="A2771" s="46"/>
      <c r="B2771" s="46"/>
      <c r="C2771" s="47"/>
    </row>
    <row r="2772" spans="1:3" x14ac:dyDescent="0.25">
      <c r="A2772" s="46"/>
      <c r="B2772" s="46"/>
      <c r="C2772" s="47"/>
    </row>
    <row r="2773" spans="1:3" x14ac:dyDescent="0.25">
      <c r="A2773" s="46"/>
      <c r="B2773" s="46"/>
      <c r="C2773" s="47"/>
    </row>
    <row r="2774" spans="1:3" x14ac:dyDescent="0.25">
      <c r="A2774" s="46"/>
      <c r="B2774" s="46"/>
      <c r="C2774" s="47"/>
    </row>
    <row r="2775" spans="1:3" x14ac:dyDescent="0.25">
      <c r="A2775" s="46"/>
      <c r="B2775" s="46"/>
      <c r="C2775" s="47"/>
    </row>
    <row r="2776" spans="1:3" x14ac:dyDescent="0.25">
      <c r="A2776" s="46"/>
      <c r="B2776" s="46"/>
      <c r="C2776" s="47"/>
    </row>
    <row r="2777" spans="1:3" x14ac:dyDescent="0.25">
      <c r="A2777" s="46"/>
      <c r="B2777" s="46"/>
      <c r="C2777" s="47"/>
    </row>
    <row r="2778" spans="1:3" x14ac:dyDescent="0.25">
      <c r="A2778" s="46"/>
      <c r="B2778" s="46"/>
      <c r="C2778" s="47"/>
    </row>
    <row r="2779" spans="1:3" x14ac:dyDescent="0.25">
      <c r="A2779" s="46"/>
      <c r="B2779" s="46"/>
      <c r="C2779" s="47"/>
    </row>
    <row r="2780" spans="1:3" x14ac:dyDescent="0.25">
      <c r="A2780" s="46"/>
      <c r="B2780" s="46"/>
      <c r="C2780" s="47"/>
    </row>
    <row r="2781" spans="1:3" x14ac:dyDescent="0.25">
      <c r="A2781" s="46"/>
      <c r="B2781" s="46"/>
      <c r="C2781" s="47"/>
    </row>
    <row r="2782" spans="1:3" x14ac:dyDescent="0.25">
      <c r="A2782" s="46"/>
      <c r="B2782" s="46"/>
      <c r="C2782" s="47"/>
    </row>
    <row r="2783" spans="1:3" x14ac:dyDescent="0.25">
      <c r="A2783" s="46"/>
      <c r="B2783" s="46"/>
      <c r="C2783" s="47"/>
    </row>
    <row r="2784" spans="1:3" x14ac:dyDescent="0.25">
      <c r="A2784" s="46"/>
      <c r="B2784" s="46"/>
      <c r="C2784" s="47"/>
    </row>
    <row r="2785" spans="1:3" x14ac:dyDescent="0.25">
      <c r="A2785" s="46"/>
      <c r="B2785" s="46"/>
      <c r="C2785" s="47"/>
    </row>
    <row r="2786" spans="1:3" x14ac:dyDescent="0.25">
      <c r="A2786" s="46"/>
      <c r="B2786" s="46"/>
      <c r="C2786" s="47"/>
    </row>
    <row r="2787" spans="1:3" x14ac:dyDescent="0.25">
      <c r="A2787" s="46"/>
      <c r="B2787" s="46"/>
      <c r="C2787" s="47"/>
    </row>
    <row r="2788" spans="1:3" x14ac:dyDescent="0.25">
      <c r="A2788" s="46"/>
      <c r="B2788" s="46"/>
      <c r="C2788" s="47"/>
    </row>
    <row r="2789" spans="1:3" x14ac:dyDescent="0.25">
      <c r="A2789" s="46"/>
      <c r="B2789" s="46"/>
      <c r="C2789" s="47"/>
    </row>
    <row r="2790" spans="1:3" x14ac:dyDescent="0.25">
      <c r="A2790" s="46"/>
      <c r="B2790" s="46"/>
      <c r="C2790" s="47"/>
    </row>
    <row r="2791" spans="1:3" x14ac:dyDescent="0.25">
      <c r="A2791" s="46"/>
      <c r="B2791" s="46"/>
      <c r="C2791" s="47"/>
    </row>
    <row r="2792" spans="1:3" x14ac:dyDescent="0.25">
      <c r="A2792" s="46"/>
      <c r="B2792" s="46"/>
      <c r="C2792" s="47"/>
    </row>
    <row r="2793" spans="1:3" x14ac:dyDescent="0.25">
      <c r="A2793" s="46"/>
      <c r="B2793" s="46"/>
      <c r="C2793" s="47"/>
    </row>
    <row r="2794" spans="1:3" x14ac:dyDescent="0.25">
      <c r="A2794" s="46"/>
      <c r="B2794" s="46"/>
      <c r="C2794" s="47"/>
    </row>
    <row r="2795" spans="1:3" x14ac:dyDescent="0.25">
      <c r="A2795" s="46"/>
      <c r="B2795" s="46"/>
      <c r="C2795" s="47"/>
    </row>
    <row r="2796" spans="1:3" x14ac:dyDescent="0.25">
      <c r="A2796" s="46"/>
      <c r="B2796" s="46"/>
      <c r="C2796" s="47"/>
    </row>
    <row r="2797" spans="1:3" x14ac:dyDescent="0.25">
      <c r="A2797" s="46"/>
      <c r="B2797" s="46"/>
      <c r="C2797" s="47"/>
    </row>
    <row r="2798" spans="1:3" x14ac:dyDescent="0.25">
      <c r="A2798" s="46"/>
      <c r="B2798" s="46"/>
      <c r="C2798" s="47"/>
    </row>
    <row r="2799" spans="1:3" x14ac:dyDescent="0.25">
      <c r="A2799" s="46"/>
      <c r="B2799" s="46"/>
      <c r="C2799" s="47"/>
    </row>
    <row r="2800" spans="1:3" x14ac:dyDescent="0.25">
      <c r="A2800" s="46"/>
      <c r="B2800" s="46"/>
      <c r="C2800" s="47"/>
    </row>
    <row r="2801" spans="1:3" x14ac:dyDescent="0.25">
      <c r="A2801" s="46"/>
      <c r="B2801" s="46"/>
      <c r="C2801" s="47"/>
    </row>
    <row r="2802" spans="1:3" x14ac:dyDescent="0.25">
      <c r="A2802" s="46"/>
      <c r="B2802" s="46"/>
      <c r="C2802" s="47"/>
    </row>
    <row r="2803" spans="1:3" x14ac:dyDescent="0.25">
      <c r="A2803" s="46"/>
      <c r="B2803" s="46"/>
      <c r="C2803" s="47"/>
    </row>
    <row r="2804" spans="1:3" x14ac:dyDescent="0.25">
      <c r="A2804" s="46"/>
      <c r="B2804" s="46"/>
      <c r="C2804" s="47"/>
    </row>
    <row r="2805" spans="1:3" x14ac:dyDescent="0.25">
      <c r="A2805" s="46"/>
      <c r="B2805" s="46"/>
      <c r="C2805" s="47"/>
    </row>
    <row r="2806" spans="1:3" x14ac:dyDescent="0.25">
      <c r="A2806" s="46"/>
      <c r="B2806" s="46"/>
      <c r="C2806" s="47"/>
    </row>
    <row r="2807" spans="1:3" x14ac:dyDescent="0.25">
      <c r="A2807" s="46"/>
      <c r="B2807" s="46"/>
      <c r="C2807" s="47"/>
    </row>
    <row r="2808" spans="1:3" x14ac:dyDescent="0.25">
      <c r="A2808" s="46"/>
      <c r="B2808" s="46"/>
      <c r="C2808" s="47"/>
    </row>
    <row r="2809" spans="1:3" x14ac:dyDescent="0.25">
      <c r="A2809" s="46"/>
      <c r="B2809" s="46"/>
      <c r="C2809" s="47"/>
    </row>
    <row r="2810" spans="1:3" x14ac:dyDescent="0.25">
      <c r="A2810" s="46"/>
      <c r="B2810" s="46"/>
      <c r="C2810" s="47"/>
    </row>
    <row r="2811" spans="1:3" x14ac:dyDescent="0.25">
      <c r="A2811" s="46"/>
      <c r="B2811" s="46"/>
      <c r="C2811" s="47"/>
    </row>
    <row r="2812" spans="1:3" x14ac:dyDescent="0.25">
      <c r="A2812" s="46"/>
      <c r="B2812" s="46"/>
      <c r="C2812" s="47"/>
    </row>
    <row r="2813" spans="1:3" x14ac:dyDescent="0.25">
      <c r="A2813" s="46"/>
      <c r="B2813" s="46"/>
      <c r="C2813" s="47"/>
    </row>
    <row r="2814" spans="1:3" x14ac:dyDescent="0.25">
      <c r="A2814" s="46"/>
      <c r="B2814" s="46"/>
      <c r="C2814" s="47"/>
    </row>
    <row r="2815" spans="1:3" x14ac:dyDescent="0.25">
      <c r="A2815" s="46"/>
      <c r="B2815" s="46"/>
      <c r="C2815" s="47"/>
    </row>
    <row r="2816" spans="1:3" x14ac:dyDescent="0.25">
      <c r="A2816" s="46"/>
      <c r="B2816" s="46"/>
      <c r="C2816" s="47"/>
    </row>
    <row r="2817" spans="1:3" x14ac:dyDescent="0.25">
      <c r="A2817" s="46"/>
      <c r="B2817" s="46"/>
      <c r="C2817" s="47"/>
    </row>
    <row r="2818" spans="1:3" x14ac:dyDescent="0.25">
      <c r="A2818" s="46"/>
      <c r="B2818" s="46"/>
      <c r="C2818" s="47"/>
    </row>
    <row r="2819" spans="1:3" x14ac:dyDescent="0.25">
      <c r="A2819" s="46"/>
      <c r="B2819" s="46"/>
      <c r="C2819" s="47"/>
    </row>
    <row r="2820" spans="1:3" x14ac:dyDescent="0.25">
      <c r="A2820" s="46"/>
      <c r="B2820" s="46"/>
      <c r="C2820" s="47"/>
    </row>
    <row r="2821" spans="1:3" x14ac:dyDescent="0.25">
      <c r="A2821" s="46"/>
      <c r="B2821" s="46"/>
      <c r="C2821" s="47"/>
    </row>
    <row r="2822" spans="1:3" x14ac:dyDescent="0.25">
      <c r="A2822" s="46"/>
      <c r="B2822" s="46"/>
      <c r="C2822" s="47"/>
    </row>
    <row r="2823" spans="1:3" x14ac:dyDescent="0.25">
      <c r="A2823" s="46"/>
      <c r="B2823" s="46"/>
      <c r="C2823" s="47"/>
    </row>
    <row r="2824" spans="1:3" x14ac:dyDescent="0.25">
      <c r="A2824" s="46"/>
      <c r="B2824" s="46"/>
      <c r="C2824" s="47"/>
    </row>
    <row r="2825" spans="1:3" x14ac:dyDescent="0.25">
      <c r="A2825" s="46"/>
      <c r="B2825" s="46"/>
      <c r="C2825" s="47"/>
    </row>
    <row r="2826" spans="1:3" x14ac:dyDescent="0.25">
      <c r="A2826" s="46"/>
      <c r="B2826" s="46"/>
      <c r="C2826" s="47"/>
    </row>
    <row r="2827" spans="1:3" x14ac:dyDescent="0.25">
      <c r="A2827" s="46"/>
      <c r="B2827" s="46"/>
      <c r="C2827" s="47"/>
    </row>
    <row r="2828" spans="1:3" x14ac:dyDescent="0.25">
      <c r="A2828" s="46"/>
      <c r="B2828" s="46"/>
      <c r="C2828" s="47"/>
    </row>
    <row r="2829" spans="1:3" x14ac:dyDescent="0.25">
      <c r="A2829" s="46"/>
      <c r="B2829" s="46"/>
      <c r="C2829" s="47"/>
    </row>
    <row r="2830" spans="1:3" x14ac:dyDescent="0.25">
      <c r="A2830" s="46"/>
      <c r="B2830" s="46"/>
      <c r="C2830" s="47"/>
    </row>
    <row r="2831" spans="1:3" x14ac:dyDescent="0.25">
      <c r="A2831" s="46"/>
      <c r="B2831" s="46"/>
      <c r="C2831" s="47"/>
    </row>
    <row r="2832" spans="1:3" x14ac:dyDescent="0.25">
      <c r="A2832" s="46"/>
      <c r="B2832" s="46"/>
      <c r="C2832" s="47"/>
    </row>
    <row r="2833" spans="1:3" x14ac:dyDescent="0.25">
      <c r="A2833" s="46"/>
      <c r="B2833" s="46"/>
      <c r="C2833" s="47"/>
    </row>
    <row r="2834" spans="1:3" x14ac:dyDescent="0.25">
      <c r="A2834" s="46"/>
      <c r="B2834" s="46"/>
      <c r="C2834" s="47"/>
    </row>
    <row r="2835" spans="1:3" x14ac:dyDescent="0.25">
      <c r="A2835" s="46"/>
      <c r="B2835" s="46"/>
      <c r="C2835" s="47"/>
    </row>
    <row r="2836" spans="1:3" x14ac:dyDescent="0.25">
      <c r="A2836" s="46"/>
      <c r="B2836" s="46"/>
      <c r="C2836" s="47"/>
    </row>
    <row r="2837" spans="1:3" x14ac:dyDescent="0.25">
      <c r="A2837" s="46"/>
      <c r="B2837" s="46"/>
      <c r="C2837" s="47"/>
    </row>
    <row r="2838" spans="1:3" x14ac:dyDescent="0.25">
      <c r="A2838" s="46"/>
      <c r="B2838" s="46"/>
      <c r="C2838" s="47"/>
    </row>
    <row r="2839" spans="1:3" x14ac:dyDescent="0.25">
      <c r="A2839" s="46"/>
      <c r="B2839" s="46"/>
      <c r="C2839" s="47"/>
    </row>
    <row r="2840" spans="1:3" x14ac:dyDescent="0.25">
      <c r="A2840" s="46"/>
      <c r="B2840" s="46"/>
      <c r="C2840" s="47"/>
    </row>
    <row r="2841" spans="1:3" x14ac:dyDescent="0.25">
      <c r="A2841" s="46"/>
      <c r="B2841" s="46"/>
      <c r="C2841" s="47"/>
    </row>
    <row r="2842" spans="1:3" x14ac:dyDescent="0.25">
      <c r="A2842" s="46"/>
      <c r="B2842" s="46"/>
      <c r="C2842" s="47"/>
    </row>
    <row r="2843" spans="1:3" x14ac:dyDescent="0.25">
      <c r="A2843" s="46"/>
      <c r="B2843" s="46"/>
      <c r="C2843" s="47"/>
    </row>
    <row r="2844" spans="1:3" x14ac:dyDescent="0.25">
      <c r="A2844" s="46"/>
      <c r="B2844" s="46"/>
      <c r="C2844" s="47"/>
    </row>
    <row r="2845" spans="1:3" x14ac:dyDescent="0.25">
      <c r="A2845" s="46"/>
      <c r="B2845" s="46"/>
      <c r="C2845" s="47"/>
    </row>
    <row r="2846" spans="1:3" x14ac:dyDescent="0.25">
      <c r="A2846" s="46"/>
      <c r="B2846" s="46"/>
      <c r="C2846" s="47"/>
    </row>
    <row r="2847" spans="1:3" x14ac:dyDescent="0.25">
      <c r="A2847" s="46"/>
      <c r="B2847" s="46"/>
      <c r="C2847" s="47"/>
    </row>
    <row r="2848" spans="1:3" x14ac:dyDescent="0.25">
      <c r="A2848" s="46"/>
      <c r="B2848" s="46"/>
      <c r="C2848" s="47"/>
    </row>
    <row r="2849" spans="1:3" x14ac:dyDescent="0.25">
      <c r="A2849" s="46"/>
      <c r="B2849" s="46"/>
      <c r="C2849" s="47"/>
    </row>
    <row r="2850" spans="1:3" x14ac:dyDescent="0.25">
      <c r="A2850" s="46"/>
      <c r="B2850" s="46"/>
      <c r="C2850" s="47"/>
    </row>
    <row r="2851" spans="1:3" x14ac:dyDescent="0.25">
      <c r="A2851" s="46"/>
      <c r="B2851" s="46"/>
      <c r="C2851" s="47"/>
    </row>
    <row r="2852" spans="1:3" x14ac:dyDescent="0.25">
      <c r="A2852" s="46"/>
      <c r="B2852" s="46"/>
      <c r="C2852" s="47"/>
    </row>
    <row r="2853" spans="1:3" x14ac:dyDescent="0.25">
      <c r="A2853" s="46"/>
      <c r="B2853" s="46"/>
      <c r="C2853" s="47"/>
    </row>
    <row r="2854" spans="1:3" x14ac:dyDescent="0.25">
      <c r="A2854" s="46"/>
      <c r="B2854" s="46"/>
      <c r="C2854" s="47"/>
    </row>
    <row r="2855" spans="1:3" x14ac:dyDescent="0.25">
      <c r="A2855" s="46"/>
      <c r="B2855" s="46"/>
      <c r="C2855" s="47"/>
    </row>
    <row r="2856" spans="1:3" x14ac:dyDescent="0.25">
      <c r="A2856" s="46"/>
      <c r="B2856" s="46"/>
      <c r="C2856" s="47"/>
    </row>
    <row r="2857" spans="1:3" x14ac:dyDescent="0.25">
      <c r="A2857" s="46"/>
      <c r="B2857" s="46"/>
      <c r="C2857" s="47"/>
    </row>
    <row r="2858" spans="1:3" x14ac:dyDescent="0.25">
      <c r="A2858" s="46"/>
      <c r="B2858" s="46"/>
      <c r="C2858" s="47"/>
    </row>
    <row r="2859" spans="1:3" x14ac:dyDescent="0.25">
      <c r="A2859" s="46"/>
      <c r="B2859" s="46"/>
      <c r="C2859" s="47"/>
    </row>
    <row r="2860" spans="1:3" x14ac:dyDescent="0.25">
      <c r="A2860" s="46"/>
      <c r="B2860" s="46"/>
      <c r="C2860" s="47"/>
    </row>
    <row r="2861" spans="1:3" x14ac:dyDescent="0.25">
      <c r="A2861" s="46"/>
      <c r="B2861" s="46"/>
      <c r="C2861" s="47"/>
    </row>
    <row r="2862" spans="1:3" x14ac:dyDescent="0.25">
      <c r="A2862" s="46"/>
      <c r="B2862" s="46"/>
      <c r="C2862" s="47"/>
    </row>
    <row r="2863" spans="1:3" x14ac:dyDescent="0.25">
      <c r="A2863" s="46"/>
      <c r="B2863" s="46"/>
      <c r="C2863" s="47"/>
    </row>
    <row r="2864" spans="1:3" x14ac:dyDescent="0.25">
      <c r="A2864" s="46"/>
      <c r="B2864" s="46"/>
      <c r="C2864" s="47"/>
    </row>
    <row r="2865" spans="1:3" x14ac:dyDescent="0.25">
      <c r="A2865" s="46"/>
      <c r="B2865" s="46"/>
      <c r="C2865" s="47"/>
    </row>
    <row r="2866" spans="1:3" x14ac:dyDescent="0.25">
      <c r="A2866" s="46"/>
      <c r="B2866" s="46"/>
      <c r="C2866" s="47"/>
    </row>
    <row r="2867" spans="1:3" x14ac:dyDescent="0.25">
      <c r="A2867" s="46"/>
      <c r="B2867" s="46"/>
      <c r="C2867" s="47"/>
    </row>
    <row r="2868" spans="1:3" x14ac:dyDescent="0.25">
      <c r="A2868" s="46"/>
      <c r="B2868" s="46"/>
      <c r="C2868" s="47"/>
    </row>
    <row r="2869" spans="1:3" x14ac:dyDescent="0.25">
      <c r="A2869" s="46"/>
      <c r="B2869" s="46"/>
      <c r="C2869" s="47"/>
    </row>
    <row r="2870" spans="1:3" x14ac:dyDescent="0.25">
      <c r="A2870" s="46"/>
      <c r="B2870" s="46"/>
      <c r="C2870" s="47"/>
    </row>
    <row r="2871" spans="1:3" x14ac:dyDescent="0.25">
      <c r="A2871" s="46"/>
      <c r="B2871" s="46"/>
      <c r="C2871" s="47"/>
    </row>
    <row r="2872" spans="1:3" x14ac:dyDescent="0.25">
      <c r="A2872" s="46"/>
      <c r="B2872" s="46"/>
      <c r="C2872" s="47"/>
    </row>
    <row r="2873" spans="1:3" x14ac:dyDescent="0.25">
      <c r="A2873" s="46"/>
      <c r="B2873" s="46"/>
      <c r="C2873" s="47"/>
    </row>
    <row r="2874" spans="1:3" x14ac:dyDescent="0.25">
      <c r="A2874" s="46"/>
      <c r="B2874" s="46"/>
      <c r="C2874" s="47"/>
    </row>
    <row r="2875" spans="1:3" x14ac:dyDescent="0.25">
      <c r="A2875" s="46"/>
      <c r="B2875" s="46"/>
      <c r="C2875" s="47"/>
    </row>
    <row r="2876" spans="1:3" x14ac:dyDescent="0.25">
      <c r="A2876" s="46"/>
      <c r="B2876" s="46"/>
      <c r="C2876" s="47"/>
    </row>
    <row r="2877" spans="1:3" x14ac:dyDescent="0.25">
      <c r="A2877" s="46"/>
      <c r="B2877" s="46"/>
      <c r="C2877" s="47"/>
    </row>
    <row r="2878" spans="1:3" x14ac:dyDescent="0.25">
      <c r="A2878" s="46"/>
      <c r="B2878" s="46"/>
      <c r="C2878" s="47"/>
    </row>
    <row r="2879" spans="1:3" x14ac:dyDescent="0.25">
      <c r="A2879" s="46"/>
      <c r="B2879" s="46"/>
      <c r="C2879" s="47"/>
    </row>
    <row r="2880" spans="1:3" x14ac:dyDescent="0.25">
      <c r="A2880" s="46"/>
      <c r="B2880" s="46"/>
      <c r="C2880" s="47"/>
    </row>
    <row r="2881" spans="1:3" x14ac:dyDescent="0.25">
      <c r="A2881" s="46"/>
      <c r="B2881" s="46"/>
      <c r="C2881" s="47"/>
    </row>
    <row r="2882" spans="1:3" x14ac:dyDescent="0.25">
      <c r="A2882" s="46"/>
      <c r="B2882" s="46"/>
      <c r="C2882" s="47"/>
    </row>
    <row r="2883" spans="1:3" x14ac:dyDescent="0.25">
      <c r="A2883" s="46"/>
      <c r="B2883" s="46"/>
      <c r="C2883" s="47"/>
    </row>
    <row r="2884" spans="1:3" x14ac:dyDescent="0.25">
      <c r="A2884" s="46"/>
      <c r="B2884" s="46"/>
      <c r="C2884" s="47"/>
    </row>
    <row r="2885" spans="1:3" x14ac:dyDescent="0.25">
      <c r="A2885" s="46"/>
      <c r="B2885" s="46"/>
      <c r="C2885" s="47"/>
    </row>
    <row r="2886" spans="1:3" x14ac:dyDescent="0.25">
      <c r="A2886" s="46"/>
      <c r="B2886" s="46"/>
      <c r="C2886" s="47"/>
    </row>
    <row r="2887" spans="1:3" x14ac:dyDescent="0.25">
      <c r="A2887" s="46"/>
      <c r="B2887" s="46"/>
      <c r="C2887" s="47"/>
    </row>
    <row r="2888" spans="1:3" x14ac:dyDescent="0.25">
      <c r="A2888" s="46"/>
      <c r="B2888" s="46"/>
      <c r="C2888" s="47"/>
    </row>
    <row r="2889" spans="1:3" x14ac:dyDescent="0.25">
      <c r="A2889" s="46"/>
      <c r="B2889" s="46"/>
      <c r="C2889" s="47"/>
    </row>
    <row r="2890" spans="1:3" x14ac:dyDescent="0.25">
      <c r="A2890" s="46"/>
      <c r="B2890" s="46"/>
      <c r="C2890" s="47"/>
    </row>
    <row r="2891" spans="1:3" x14ac:dyDescent="0.25">
      <c r="A2891" s="46"/>
      <c r="B2891" s="46"/>
      <c r="C2891" s="47"/>
    </row>
    <row r="2892" spans="1:3" x14ac:dyDescent="0.25">
      <c r="A2892" s="46"/>
      <c r="B2892" s="46"/>
      <c r="C2892" s="47"/>
    </row>
    <row r="2893" spans="1:3" x14ac:dyDescent="0.25">
      <c r="A2893" s="46"/>
      <c r="B2893" s="46"/>
      <c r="C2893" s="47"/>
    </row>
    <row r="2894" spans="1:3" x14ac:dyDescent="0.25">
      <c r="A2894" s="46"/>
      <c r="B2894" s="46"/>
      <c r="C2894" s="47"/>
    </row>
    <row r="2895" spans="1:3" x14ac:dyDescent="0.25">
      <c r="A2895" s="46"/>
      <c r="B2895" s="46"/>
      <c r="C2895" s="47"/>
    </row>
    <row r="2896" spans="1:3" x14ac:dyDescent="0.25">
      <c r="A2896" s="46"/>
      <c r="B2896" s="46"/>
      <c r="C2896" s="47"/>
    </row>
    <row r="2897" spans="1:3" x14ac:dyDescent="0.25">
      <c r="A2897" s="46"/>
      <c r="B2897" s="46"/>
      <c r="C2897" s="47"/>
    </row>
    <row r="2898" spans="1:3" x14ac:dyDescent="0.25">
      <c r="A2898" s="46"/>
      <c r="B2898" s="46"/>
      <c r="C2898" s="47"/>
    </row>
    <row r="2899" spans="1:3" x14ac:dyDescent="0.25">
      <c r="A2899" s="46"/>
      <c r="B2899" s="46"/>
      <c r="C2899" s="47"/>
    </row>
    <row r="2900" spans="1:3" x14ac:dyDescent="0.25">
      <c r="A2900" s="46"/>
      <c r="B2900" s="46"/>
      <c r="C2900" s="47"/>
    </row>
    <row r="2901" spans="1:3" x14ac:dyDescent="0.25">
      <c r="A2901" s="46"/>
      <c r="B2901" s="46"/>
      <c r="C2901" s="47"/>
    </row>
    <row r="2902" spans="1:3" x14ac:dyDescent="0.25">
      <c r="A2902" s="46"/>
      <c r="B2902" s="46"/>
      <c r="C2902" s="47"/>
    </row>
    <row r="2903" spans="1:3" x14ac:dyDescent="0.25">
      <c r="A2903" s="46"/>
      <c r="B2903" s="46"/>
      <c r="C2903" s="47"/>
    </row>
    <row r="2904" spans="1:3" x14ac:dyDescent="0.25">
      <c r="A2904" s="46"/>
      <c r="B2904" s="46"/>
      <c r="C2904" s="47"/>
    </row>
    <row r="2905" spans="1:3" x14ac:dyDescent="0.25">
      <c r="A2905" s="46"/>
      <c r="B2905" s="46"/>
      <c r="C2905" s="47"/>
    </row>
    <row r="2906" spans="1:3" x14ac:dyDescent="0.25">
      <c r="A2906" s="46"/>
      <c r="B2906" s="46"/>
      <c r="C2906" s="47"/>
    </row>
    <row r="2907" spans="1:3" x14ac:dyDescent="0.25">
      <c r="A2907" s="46"/>
      <c r="B2907" s="46"/>
      <c r="C2907" s="47"/>
    </row>
    <row r="2908" spans="1:3" x14ac:dyDescent="0.25">
      <c r="A2908" s="46"/>
      <c r="B2908" s="46"/>
      <c r="C2908" s="47"/>
    </row>
    <row r="2909" spans="1:3" x14ac:dyDescent="0.25">
      <c r="A2909" s="46"/>
      <c r="B2909" s="46"/>
      <c r="C2909" s="47"/>
    </row>
    <row r="2910" spans="1:3" x14ac:dyDescent="0.25">
      <c r="A2910" s="46"/>
      <c r="B2910" s="46"/>
      <c r="C2910" s="47"/>
    </row>
    <row r="2911" spans="1:3" x14ac:dyDescent="0.25">
      <c r="A2911" s="46"/>
      <c r="B2911" s="46"/>
      <c r="C2911" s="47"/>
    </row>
    <row r="2912" spans="1:3" x14ac:dyDescent="0.25">
      <c r="A2912" s="46"/>
      <c r="B2912" s="46"/>
      <c r="C2912" s="47"/>
    </row>
    <row r="2913" spans="1:3" x14ac:dyDescent="0.25">
      <c r="A2913" s="46"/>
      <c r="B2913" s="46"/>
      <c r="C2913" s="47"/>
    </row>
    <row r="2914" spans="1:3" x14ac:dyDescent="0.25">
      <c r="A2914" s="46"/>
      <c r="B2914" s="46"/>
      <c r="C2914" s="47"/>
    </row>
    <row r="2915" spans="1:3" x14ac:dyDescent="0.25">
      <c r="A2915" s="46"/>
      <c r="B2915" s="46"/>
      <c r="C2915" s="47"/>
    </row>
    <row r="2916" spans="1:3" x14ac:dyDescent="0.25">
      <c r="A2916" s="46"/>
      <c r="B2916" s="46"/>
      <c r="C2916" s="47"/>
    </row>
    <row r="2917" spans="1:3" x14ac:dyDescent="0.25">
      <c r="A2917" s="46"/>
      <c r="B2917" s="46"/>
      <c r="C2917" s="47"/>
    </row>
    <row r="2918" spans="1:3" x14ac:dyDescent="0.25">
      <c r="A2918" s="46"/>
      <c r="B2918" s="46"/>
      <c r="C2918" s="47"/>
    </row>
    <row r="2919" spans="1:3" x14ac:dyDescent="0.25">
      <c r="A2919" s="46"/>
      <c r="B2919" s="46"/>
      <c r="C2919" s="47"/>
    </row>
    <row r="2920" spans="1:3" x14ac:dyDescent="0.25">
      <c r="A2920" s="46"/>
      <c r="B2920" s="46"/>
      <c r="C2920" s="47"/>
    </row>
    <row r="2921" spans="1:3" x14ac:dyDescent="0.25">
      <c r="A2921" s="46"/>
      <c r="B2921" s="46"/>
      <c r="C2921" s="47"/>
    </row>
    <row r="2922" spans="1:3" x14ac:dyDescent="0.25">
      <c r="A2922" s="46"/>
      <c r="B2922" s="46"/>
      <c r="C2922" s="47"/>
    </row>
    <row r="2923" spans="1:3" x14ac:dyDescent="0.25">
      <c r="A2923" s="46"/>
      <c r="B2923" s="46"/>
      <c r="C2923" s="47"/>
    </row>
    <row r="2924" spans="1:3" x14ac:dyDescent="0.25">
      <c r="A2924" s="46"/>
      <c r="B2924" s="46"/>
      <c r="C2924" s="47"/>
    </row>
    <row r="2925" spans="1:3" x14ac:dyDescent="0.25">
      <c r="A2925" s="46"/>
      <c r="B2925" s="46"/>
      <c r="C2925" s="47"/>
    </row>
    <row r="2926" spans="1:3" x14ac:dyDescent="0.25">
      <c r="A2926" s="46"/>
      <c r="B2926" s="46"/>
      <c r="C2926" s="47"/>
    </row>
    <row r="2927" spans="1:3" x14ac:dyDescent="0.25">
      <c r="A2927" s="46"/>
      <c r="B2927" s="46"/>
      <c r="C2927" s="47"/>
    </row>
    <row r="2928" spans="1:3" x14ac:dyDescent="0.25">
      <c r="A2928" s="46"/>
      <c r="B2928" s="46"/>
      <c r="C2928" s="47"/>
    </row>
    <row r="2929" spans="1:3" x14ac:dyDescent="0.25">
      <c r="A2929" s="46"/>
      <c r="B2929" s="46"/>
      <c r="C2929" s="47"/>
    </row>
    <row r="2930" spans="1:3" x14ac:dyDescent="0.25">
      <c r="A2930" s="46"/>
      <c r="B2930" s="46"/>
      <c r="C2930" s="47"/>
    </row>
    <row r="2931" spans="1:3" x14ac:dyDescent="0.25">
      <c r="A2931" s="46"/>
      <c r="B2931" s="46"/>
      <c r="C2931" s="47"/>
    </row>
    <row r="2932" spans="1:3" x14ac:dyDescent="0.25">
      <c r="A2932" s="46"/>
      <c r="B2932" s="46"/>
      <c r="C2932" s="47"/>
    </row>
    <row r="2933" spans="1:3" x14ac:dyDescent="0.25">
      <c r="A2933" s="46"/>
      <c r="B2933" s="46"/>
      <c r="C2933" s="47"/>
    </row>
    <row r="2934" spans="1:3" x14ac:dyDescent="0.25">
      <c r="A2934" s="46"/>
      <c r="B2934" s="46"/>
      <c r="C2934" s="47"/>
    </row>
    <row r="2935" spans="1:3" x14ac:dyDescent="0.25">
      <c r="A2935" s="46"/>
      <c r="B2935" s="46"/>
      <c r="C2935" s="47"/>
    </row>
    <row r="2936" spans="1:3" x14ac:dyDescent="0.25">
      <c r="A2936" s="46"/>
      <c r="B2936" s="46"/>
      <c r="C2936" s="47"/>
    </row>
    <row r="2937" spans="1:3" x14ac:dyDescent="0.25">
      <c r="A2937" s="46"/>
      <c r="B2937" s="46"/>
      <c r="C2937" s="47"/>
    </row>
    <row r="2938" spans="1:3" x14ac:dyDescent="0.25">
      <c r="A2938" s="46"/>
      <c r="B2938" s="46"/>
      <c r="C2938" s="47"/>
    </row>
    <row r="2939" spans="1:3" x14ac:dyDescent="0.25">
      <c r="A2939" s="46"/>
      <c r="B2939" s="46"/>
      <c r="C2939" s="47"/>
    </row>
    <row r="2940" spans="1:3" x14ac:dyDescent="0.25">
      <c r="A2940" s="46"/>
      <c r="B2940" s="46"/>
      <c r="C2940" s="47"/>
    </row>
    <row r="2941" spans="1:3" x14ac:dyDescent="0.25">
      <c r="A2941" s="46"/>
      <c r="B2941" s="46"/>
      <c r="C2941" s="47"/>
    </row>
    <row r="2942" spans="1:3" x14ac:dyDescent="0.25">
      <c r="A2942" s="46"/>
      <c r="B2942" s="46"/>
      <c r="C2942" s="47"/>
    </row>
    <row r="2943" spans="1:3" x14ac:dyDescent="0.25">
      <c r="A2943" s="46"/>
      <c r="B2943" s="46"/>
      <c r="C2943" s="47"/>
    </row>
    <row r="2944" spans="1:3" x14ac:dyDescent="0.25">
      <c r="A2944" s="46"/>
      <c r="B2944" s="46"/>
      <c r="C2944" s="47"/>
    </row>
    <row r="2945" spans="1:3" x14ac:dyDescent="0.25">
      <c r="A2945" s="46"/>
      <c r="B2945" s="46"/>
      <c r="C2945" s="47"/>
    </row>
    <row r="2946" spans="1:3" x14ac:dyDescent="0.25">
      <c r="A2946" s="46"/>
      <c r="B2946" s="46"/>
      <c r="C2946" s="47"/>
    </row>
    <row r="2947" spans="1:3" x14ac:dyDescent="0.25">
      <c r="A2947" s="46"/>
      <c r="B2947" s="46"/>
      <c r="C2947" s="47"/>
    </row>
    <row r="2948" spans="1:3" x14ac:dyDescent="0.25">
      <c r="A2948" s="46"/>
      <c r="B2948" s="46"/>
      <c r="C2948" s="47"/>
    </row>
    <row r="2949" spans="1:3" x14ac:dyDescent="0.25">
      <c r="A2949" s="46"/>
      <c r="B2949" s="46"/>
      <c r="C2949" s="47"/>
    </row>
    <row r="2950" spans="1:3" x14ac:dyDescent="0.25">
      <c r="A2950" s="46"/>
      <c r="B2950" s="46"/>
      <c r="C2950" s="47"/>
    </row>
    <row r="2951" spans="1:3" x14ac:dyDescent="0.25">
      <c r="A2951" s="46"/>
      <c r="B2951" s="46"/>
      <c r="C2951" s="47"/>
    </row>
    <row r="2952" spans="1:3" x14ac:dyDescent="0.25">
      <c r="A2952" s="46"/>
      <c r="B2952" s="46"/>
      <c r="C2952" s="47"/>
    </row>
    <row r="2953" spans="1:3" x14ac:dyDescent="0.25">
      <c r="A2953" s="46"/>
      <c r="B2953" s="46"/>
      <c r="C2953" s="47"/>
    </row>
    <row r="2954" spans="1:3" x14ac:dyDescent="0.25">
      <c r="A2954" s="46"/>
      <c r="B2954" s="46"/>
      <c r="C2954" s="47"/>
    </row>
    <row r="2955" spans="1:3" x14ac:dyDescent="0.25">
      <c r="A2955" s="46"/>
      <c r="B2955" s="46"/>
      <c r="C2955" s="47"/>
    </row>
    <row r="2956" spans="1:3" x14ac:dyDescent="0.25">
      <c r="A2956" s="46"/>
      <c r="B2956" s="46"/>
      <c r="C2956" s="47"/>
    </row>
    <row r="2957" spans="1:3" x14ac:dyDescent="0.25">
      <c r="A2957" s="46"/>
      <c r="B2957" s="46"/>
      <c r="C2957" s="47"/>
    </row>
    <row r="2958" spans="1:3" x14ac:dyDescent="0.25">
      <c r="A2958" s="46"/>
      <c r="B2958" s="46"/>
      <c r="C2958" s="47"/>
    </row>
    <row r="2959" spans="1:3" x14ac:dyDescent="0.25">
      <c r="A2959" s="46"/>
      <c r="B2959" s="46"/>
      <c r="C2959" s="47"/>
    </row>
    <row r="2960" spans="1:3" x14ac:dyDescent="0.25">
      <c r="A2960" s="46"/>
      <c r="B2960" s="46"/>
      <c r="C2960" s="47"/>
    </row>
    <row r="2961" spans="1:3" x14ac:dyDescent="0.25">
      <c r="A2961" s="46"/>
      <c r="B2961" s="46"/>
      <c r="C2961" s="47"/>
    </row>
    <row r="2962" spans="1:3" x14ac:dyDescent="0.25">
      <c r="A2962" s="46"/>
      <c r="B2962" s="46"/>
      <c r="C2962" s="47"/>
    </row>
    <row r="2963" spans="1:3" x14ac:dyDescent="0.25">
      <c r="A2963" s="46"/>
      <c r="B2963" s="46"/>
      <c r="C2963" s="47"/>
    </row>
    <row r="2964" spans="1:3" x14ac:dyDescent="0.25">
      <c r="A2964" s="46"/>
      <c r="B2964" s="46"/>
      <c r="C2964" s="47"/>
    </row>
    <row r="2965" spans="1:3" x14ac:dyDescent="0.25">
      <c r="A2965" s="46"/>
      <c r="B2965" s="46"/>
      <c r="C2965" s="47"/>
    </row>
    <row r="2966" spans="1:3" x14ac:dyDescent="0.25">
      <c r="A2966" s="46"/>
      <c r="B2966" s="46"/>
      <c r="C2966" s="47"/>
    </row>
    <row r="2967" spans="1:3" x14ac:dyDescent="0.25">
      <c r="A2967" s="46"/>
      <c r="B2967" s="46"/>
      <c r="C2967" s="47"/>
    </row>
    <row r="2968" spans="1:3" x14ac:dyDescent="0.25">
      <c r="A2968" s="46"/>
      <c r="B2968" s="46"/>
      <c r="C2968" s="47"/>
    </row>
    <row r="2969" spans="1:3" x14ac:dyDescent="0.25">
      <c r="A2969" s="46"/>
      <c r="B2969" s="46"/>
      <c r="C2969" s="47"/>
    </row>
    <row r="2970" spans="1:3" x14ac:dyDescent="0.25">
      <c r="A2970" s="46"/>
      <c r="B2970" s="46"/>
      <c r="C2970" s="47"/>
    </row>
    <row r="2971" spans="1:3" x14ac:dyDescent="0.25">
      <c r="A2971" s="46"/>
      <c r="B2971" s="46"/>
      <c r="C2971" s="47"/>
    </row>
    <row r="2972" spans="1:3" x14ac:dyDescent="0.25">
      <c r="A2972" s="46"/>
      <c r="B2972" s="46"/>
      <c r="C2972" s="47"/>
    </row>
    <row r="2973" spans="1:3" x14ac:dyDescent="0.25">
      <c r="A2973" s="46"/>
      <c r="B2973" s="46"/>
      <c r="C2973" s="47"/>
    </row>
    <row r="2974" spans="1:3" x14ac:dyDescent="0.25">
      <c r="A2974" s="46"/>
      <c r="B2974" s="46"/>
      <c r="C2974" s="47"/>
    </row>
    <row r="2975" spans="1:3" x14ac:dyDescent="0.25">
      <c r="A2975" s="46"/>
      <c r="B2975" s="46"/>
      <c r="C2975" s="47"/>
    </row>
    <row r="2976" spans="1:3" x14ac:dyDescent="0.25">
      <c r="A2976" s="46"/>
      <c r="B2976" s="46"/>
      <c r="C2976" s="47"/>
    </row>
    <row r="2977" spans="1:3" x14ac:dyDescent="0.25">
      <c r="A2977" s="46"/>
      <c r="B2977" s="46"/>
      <c r="C2977" s="47"/>
    </row>
    <row r="2978" spans="1:3" x14ac:dyDescent="0.25">
      <c r="A2978" s="46"/>
      <c r="B2978" s="46"/>
      <c r="C2978" s="47"/>
    </row>
    <row r="2979" spans="1:3" x14ac:dyDescent="0.25">
      <c r="A2979" s="46"/>
      <c r="B2979" s="46"/>
      <c r="C2979" s="47"/>
    </row>
    <row r="2980" spans="1:3" x14ac:dyDescent="0.25">
      <c r="A2980" s="46"/>
      <c r="B2980" s="46"/>
      <c r="C2980" s="47"/>
    </row>
    <row r="2981" spans="1:3" x14ac:dyDescent="0.25">
      <c r="A2981" s="46"/>
      <c r="B2981" s="46"/>
      <c r="C2981" s="47"/>
    </row>
    <row r="2982" spans="1:3" x14ac:dyDescent="0.25">
      <c r="A2982" s="46"/>
      <c r="B2982" s="46"/>
      <c r="C2982" s="47"/>
    </row>
    <row r="2983" spans="1:3" x14ac:dyDescent="0.25">
      <c r="A2983" s="46"/>
      <c r="B2983" s="46"/>
      <c r="C2983" s="47"/>
    </row>
    <row r="2984" spans="1:3" x14ac:dyDescent="0.25">
      <c r="A2984" s="46"/>
      <c r="B2984" s="46"/>
      <c r="C2984" s="47"/>
    </row>
    <row r="2985" spans="1:3" x14ac:dyDescent="0.25">
      <c r="A2985" s="46"/>
      <c r="B2985" s="46"/>
      <c r="C2985" s="47"/>
    </row>
    <row r="2986" spans="1:3" x14ac:dyDescent="0.25">
      <c r="A2986" s="46"/>
      <c r="B2986" s="46"/>
      <c r="C2986" s="47"/>
    </row>
    <row r="2987" spans="1:3" x14ac:dyDescent="0.25">
      <c r="A2987" s="46"/>
      <c r="B2987" s="46"/>
      <c r="C2987" s="47"/>
    </row>
    <row r="2988" spans="1:3" x14ac:dyDescent="0.25">
      <c r="A2988" s="46"/>
      <c r="B2988" s="46"/>
      <c r="C2988" s="47"/>
    </row>
    <row r="2989" spans="1:3" x14ac:dyDescent="0.25">
      <c r="A2989" s="46"/>
      <c r="B2989" s="46"/>
      <c r="C2989" s="47"/>
    </row>
    <row r="2990" spans="1:3" x14ac:dyDescent="0.25">
      <c r="A2990" s="46"/>
      <c r="B2990" s="46"/>
      <c r="C2990" s="47"/>
    </row>
    <row r="2991" spans="1:3" x14ac:dyDescent="0.25">
      <c r="A2991" s="46"/>
      <c r="B2991" s="46"/>
      <c r="C2991" s="47"/>
    </row>
    <row r="2992" spans="1:3" x14ac:dyDescent="0.25">
      <c r="A2992" s="46"/>
      <c r="B2992" s="46"/>
      <c r="C2992" s="47"/>
    </row>
    <row r="2993" spans="1:3" x14ac:dyDescent="0.25">
      <c r="A2993" s="46"/>
      <c r="B2993" s="46"/>
      <c r="C2993" s="47"/>
    </row>
    <row r="2994" spans="1:3" x14ac:dyDescent="0.25">
      <c r="A2994" s="46"/>
      <c r="B2994" s="46"/>
      <c r="C2994" s="47"/>
    </row>
    <row r="2995" spans="1:3" x14ac:dyDescent="0.25">
      <c r="A2995" s="46"/>
      <c r="B2995" s="46"/>
      <c r="C2995" s="47"/>
    </row>
    <row r="2996" spans="1:3" x14ac:dyDescent="0.25">
      <c r="A2996" s="46"/>
      <c r="B2996" s="46"/>
      <c r="C2996" s="47"/>
    </row>
    <row r="2997" spans="1:3" x14ac:dyDescent="0.25">
      <c r="A2997" s="46"/>
      <c r="B2997" s="46"/>
      <c r="C2997" s="47"/>
    </row>
    <row r="2998" spans="1:3" x14ac:dyDescent="0.25">
      <c r="A2998" s="46"/>
      <c r="B2998" s="46"/>
      <c r="C2998" s="47"/>
    </row>
    <row r="2999" spans="1:3" x14ac:dyDescent="0.25">
      <c r="A2999" s="46"/>
      <c r="B2999" s="46"/>
      <c r="C2999" s="47"/>
    </row>
    <row r="3000" spans="1:3" x14ac:dyDescent="0.25">
      <c r="A3000" s="46"/>
      <c r="B3000" s="46"/>
      <c r="C3000" s="47"/>
    </row>
    <row r="3001" spans="1:3" x14ac:dyDescent="0.25">
      <c r="A3001" s="46"/>
      <c r="B3001" s="46"/>
      <c r="C3001" s="47"/>
    </row>
    <row r="3002" spans="1:3" x14ac:dyDescent="0.25">
      <c r="A3002" s="46"/>
      <c r="B3002" s="46"/>
      <c r="C3002" s="47"/>
    </row>
    <row r="3003" spans="1:3" x14ac:dyDescent="0.25">
      <c r="A3003" s="46"/>
      <c r="B3003" s="46"/>
      <c r="C3003" s="47"/>
    </row>
    <row r="3004" spans="1:3" x14ac:dyDescent="0.25">
      <c r="A3004" s="46"/>
      <c r="B3004" s="46"/>
      <c r="C3004" s="47"/>
    </row>
    <row r="3005" spans="1:3" x14ac:dyDescent="0.25">
      <c r="A3005" s="46"/>
      <c r="B3005" s="46"/>
      <c r="C3005" s="47"/>
    </row>
    <row r="3006" spans="1:3" x14ac:dyDescent="0.25">
      <c r="A3006" s="46"/>
      <c r="B3006" s="46"/>
      <c r="C3006" s="47"/>
    </row>
    <row r="3007" spans="1:3" x14ac:dyDescent="0.25">
      <c r="A3007" s="46"/>
      <c r="B3007" s="46"/>
      <c r="C3007" s="47"/>
    </row>
    <row r="3008" spans="1:3" x14ac:dyDescent="0.25">
      <c r="A3008" s="46"/>
      <c r="B3008" s="46"/>
      <c r="C3008" s="47"/>
    </row>
    <row r="3009" spans="1:3" x14ac:dyDescent="0.25">
      <c r="A3009" s="46"/>
      <c r="B3009" s="46"/>
      <c r="C3009" s="47"/>
    </row>
    <row r="3010" spans="1:3" x14ac:dyDescent="0.25">
      <c r="A3010" s="46"/>
      <c r="B3010" s="46"/>
      <c r="C3010" s="47"/>
    </row>
    <row r="3011" spans="1:3" x14ac:dyDescent="0.25">
      <c r="A3011" s="46"/>
      <c r="B3011" s="46"/>
      <c r="C3011" s="47"/>
    </row>
    <row r="3012" spans="1:3" x14ac:dyDescent="0.25">
      <c r="A3012" s="46"/>
      <c r="B3012" s="46"/>
      <c r="C3012" s="47"/>
    </row>
    <row r="3013" spans="1:3" x14ac:dyDescent="0.25">
      <c r="A3013" s="46"/>
      <c r="B3013" s="46"/>
      <c r="C3013" s="47"/>
    </row>
    <row r="3014" spans="1:3" x14ac:dyDescent="0.25">
      <c r="A3014" s="46"/>
      <c r="B3014" s="46"/>
      <c r="C3014" s="47"/>
    </row>
    <row r="3015" spans="1:3" x14ac:dyDescent="0.25">
      <c r="A3015" s="46"/>
      <c r="B3015" s="46"/>
      <c r="C3015" s="47"/>
    </row>
    <row r="3016" spans="1:3" x14ac:dyDescent="0.25">
      <c r="A3016" s="46"/>
      <c r="B3016" s="46"/>
      <c r="C3016" s="47"/>
    </row>
    <row r="3017" spans="1:3" x14ac:dyDescent="0.25">
      <c r="A3017" s="46"/>
      <c r="B3017" s="46"/>
      <c r="C3017" s="47"/>
    </row>
    <row r="3018" spans="1:3" x14ac:dyDescent="0.25">
      <c r="A3018" s="46"/>
      <c r="B3018" s="46"/>
      <c r="C3018" s="47"/>
    </row>
    <row r="3019" spans="1:3" x14ac:dyDescent="0.25">
      <c r="A3019" s="46"/>
      <c r="B3019" s="46"/>
      <c r="C3019" s="47"/>
    </row>
    <row r="3020" spans="1:3" x14ac:dyDescent="0.25">
      <c r="A3020" s="46"/>
      <c r="B3020" s="46"/>
      <c r="C3020" s="47"/>
    </row>
    <row r="3021" spans="1:3" x14ac:dyDescent="0.25">
      <c r="A3021" s="46"/>
      <c r="B3021" s="46"/>
      <c r="C3021" s="47"/>
    </row>
    <row r="3022" spans="1:3" x14ac:dyDescent="0.25">
      <c r="A3022" s="46"/>
      <c r="B3022" s="46"/>
      <c r="C3022" s="47"/>
    </row>
    <row r="3023" spans="1:3" x14ac:dyDescent="0.25">
      <c r="A3023" s="46"/>
      <c r="B3023" s="46"/>
      <c r="C3023" s="47"/>
    </row>
    <row r="3024" spans="1:3" x14ac:dyDescent="0.25">
      <c r="A3024" s="46"/>
      <c r="B3024" s="46"/>
      <c r="C3024" s="47"/>
    </row>
    <row r="3025" spans="1:3" x14ac:dyDescent="0.25">
      <c r="A3025" s="46"/>
      <c r="B3025" s="46"/>
      <c r="C3025" s="47"/>
    </row>
    <row r="3026" spans="1:3" x14ac:dyDescent="0.25">
      <c r="A3026" s="46"/>
      <c r="B3026" s="46"/>
      <c r="C3026" s="47"/>
    </row>
    <row r="3027" spans="1:3" x14ac:dyDescent="0.25">
      <c r="A3027" s="46"/>
      <c r="B3027" s="46"/>
      <c r="C3027" s="47"/>
    </row>
    <row r="3028" spans="1:3" x14ac:dyDescent="0.25">
      <c r="A3028" s="46"/>
      <c r="B3028" s="46"/>
      <c r="C3028" s="47"/>
    </row>
    <row r="3029" spans="1:3" x14ac:dyDescent="0.25">
      <c r="A3029" s="46"/>
      <c r="B3029" s="46"/>
      <c r="C3029" s="47"/>
    </row>
    <row r="3030" spans="1:3" x14ac:dyDescent="0.25">
      <c r="A3030" s="46"/>
      <c r="B3030" s="46"/>
      <c r="C3030" s="47"/>
    </row>
    <row r="3031" spans="1:3" x14ac:dyDescent="0.25">
      <c r="A3031" s="46"/>
      <c r="B3031" s="46"/>
      <c r="C3031" s="47"/>
    </row>
    <row r="3032" spans="1:3" x14ac:dyDescent="0.25">
      <c r="A3032" s="46"/>
      <c r="B3032" s="46"/>
      <c r="C3032" s="47"/>
    </row>
    <row r="3033" spans="1:3" x14ac:dyDescent="0.25">
      <c r="A3033" s="46"/>
      <c r="B3033" s="46"/>
      <c r="C3033" s="47"/>
    </row>
    <row r="3034" spans="1:3" x14ac:dyDescent="0.25">
      <c r="A3034" s="46"/>
      <c r="B3034" s="46"/>
      <c r="C3034" s="47"/>
    </row>
    <row r="3035" spans="1:3" x14ac:dyDescent="0.25">
      <c r="A3035" s="46"/>
      <c r="B3035" s="46"/>
      <c r="C3035" s="47"/>
    </row>
    <row r="3036" spans="1:3" x14ac:dyDescent="0.25">
      <c r="A3036" s="46"/>
      <c r="B3036" s="46"/>
      <c r="C3036" s="47"/>
    </row>
    <row r="3037" spans="1:3" x14ac:dyDescent="0.25">
      <c r="A3037" s="46"/>
      <c r="B3037" s="46"/>
      <c r="C3037" s="47"/>
    </row>
    <row r="3038" spans="1:3" x14ac:dyDescent="0.25">
      <c r="A3038" s="46"/>
      <c r="B3038" s="46"/>
      <c r="C3038" s="47"/>
    </row>
    <row r="3039" spans="1:3" x14ac:dyDescent="0.25">
      <c r="A3039" s="46"/>
      <c r="B3039" s="46"/>
      <c r="C3039" s="47"/>
    </row>
    <row r="3040" spans="1:3" x14ac:dyDescent="0.25">
      <c r="A3040" s="46"/>
      <c r="B3040" s="46"/>
      <c r="C3040" s="47"/>
    </row>
    <row r="3041" spans="1:3" x14ac:dyDescent="0.25">
      <c r="A3041" s="46"/>
      <c r="B3041" s="46"/>
      <c r="C3041" s="47"/>
    </row>
    <row r="3042" spans="1:3" x14ac:dyDescent="0.25">
      <c r="A3042" s="46"/>
      <c r="B3042" s="46"/>
      <c r="C3042" s="47"/>
    </row>
    <row r="3043" spans="1:3" x14ac:dyDescent="0.25">
      <c r="A3043" s="46"/>
      <c r="B3043" s="46"/>
      <c r="C3043" s="47"/>
    </row>
    <row r="3044" spans="1:3" x14ac:dyDescent="0.25">
      <c r="A3044" s="46"/>
      <c r="B3044" s="46"/>
      <c r="C3044" s="47"/>
    </row>
    <row r="3045" spans="1:3" x14ac:dyDescent="0.25">
      <c r="A3045" s="46"/>
      <c r="B3045" s="46"/>
      <c r="C3045" s="47"/>
    </row>
    <row r="3046" spans="1:3" x14ac:dyDescent="0.25">
      <c r="A3046" s="46"/>
      <c r="B3046" s="46"/>
      <c r="C3046" s="47"/>
    </row>
    <row r="3047" spans="1:3" x14ac:dyDescent="0.25">
      <c r="A3047" s="46"/>
      <c r="B3047" s="46"/>
      <c r="C3047" s="47"/>
    </row>
    <row r="3048" spans="1:3" x14ac:dyDescent="0.25">
      <c r="A3048" s="46"/>
      <c r="B3048" s="46"/>
      <c r="C3048" s="47"/>
    </row>
    <row r="3049" spans="1:3" x14ac:dyDescent="0.25">
      <c r="A3049" s="46"/>
      <c r="B3049" s="46"/>
      <c r="C3049" s="47"/>
    </row>
    <row r="3050" spans="1:3" x14ac:dyDescent="0.25">
      <c r="A3050" s="46"/>
      <c r="B3050" s="46"/>
      <c r="C3050" s="47"/>
    </row>
    <row r="3051" spans="1:3" x14ac:dyDescent="0.25">
      <c r="A3051" s="46"/>
      <c r="B3051" s="46"/>
      <c r="C3051" s="47"/>
    </row>
    <row r="3052" spans="1:3" x14ac:dyDescent="0.25">
      <c r="A3052" s="46"/>
      <c r="B3052" s="46"/>
      <c r="C3052" s="47"/>
    </row>
    <row r="3053" spans="1:3" x14ac:dyDescent="0.25">
      <c r="A3053" s="46"/>
      <c r="B3053" s="46"/>
      <c r="C3053" s="47"/>
    </row>
    <row r="3054" spans="1:3" x14ac:dyDescent="0.25">
      <c r="A3054" s="46"/>
      <c r="B3054" s="46"/>
      <c r="C3054" s="47"/>
    </row>
    <row r="3055" spans="1:3" x14ac:dyDescent="0.25">
      <c r="A3055" s="46"/>
      <c r="B3055" s="46"/>
      <c r="C3055" s="47"/>
    </row>
    <row r="3056" spans="1:3" x14ac:dyDescent="0.25">
      <c r="A3056" s="46"/>
      <c r="B3056" s="46"/>
      <c r="C3056" s="47"/>
    </row>
    <row r="3057" spans="1:3" x14ac:dyDescent="0.25">
      <c r="A3057" s="46"/>
      <c r="B3057" s="46"/>
      <c r="C3057" s="47"/>
    </row>
    <row r="3058" spans="1:3" x14ac:dyDescent="0.25">
      <c r="A3058" s="46"/>
      <c r="B3058" s="46"/>
      <c r="C3058" s="47"/>
    </row>
    <row r="3059" spans="1:3" x14ac:dyDescent="0.25">
      <c r="A3059" s="46"/>
      <c r="B3059" s="46"/>
      <c r="C3059" s="47"/>
    </row>
    <row r="3060" spans="1:3" x14ac:dyDescent="0.25">
      <c r="A3060" s="46"/>
      <c r="B3060" s="46"/>
      <c r="C3060" s="47"/>
    </row>
    <row r="3061" spans="1:3" x14ac:dyDescent="0.25">
      <c r="A3061" s="46"/>
      <c r="B3061" s="46"/>
      <c r="C3061" s="47"/>
    </row>
    <row r="3062" spans="1:3" x14ac:dyDescent="0.25">
      <c r="A3062" s="46"/>
      <c r="B3062" s="46"/>
      <c r="C3062" s="4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54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1.109375" customWidth="1"/>
    <col min="2" max="2" width="7.88671875" customWidth="1"/>
    <col min="3" max="3" width="33.44140625" customWidth="1"/>
    <col min="4" max="4" width="34.21875" customWidth="1"/>
    <col min="5" max="5" width="8.88671875" customWidth="1"/>
    <col min="6" max="6" width="43.44140625" customWidth="1"/>
    <col min="7" max="7" width="21.109375" customWidth="1"/>
    <col min="10" max="10" width="9.77734375" customWidth="1"/>
    <col min="11" max="11" width="7.33203125" customWidth="1"/>
    <col min="12" max="12" width="37" customWidth="1"/>
    <col min="13" max="13" width="50.33203125" customWidth="1"/>
    <col min="14" max="15" width="23.77734375" customWidth="1"/>
    <col min="17" max="17" width="43.44140625" customWidth="1"/>
  </cols>
  <sheetData>
    <row r="1" spans="1:27" x14ac:dyDescent="0.25">
      <c r="A1" s="48" t="s">
        <v>3471</v>
      </c>
      <c r="B1" s="49"/>
      <c r="C1" s="48" t="s">
        <v>759</v>
      </c>
      <c r="D1" s="48" t="s">
        <v>3472</v>
      </c>
      <c r="E1" s="49"/>
      <c r="F1" s="112" t="s">
        <v>3473</v>
      </c>
      <c r="G1" s="113"/>
      <c r="H1" s="49"/>
      <c r="I1" s="50" t="s">
        <v>3474</v>
      </c>
      <c r="J1" s="51" t="s">
        <v>3475</v>
      </c>
      <c r="K1" s="52" t="s">
        <v>3476</v>
      </c>
      <c r="L1" s="48" t="s">
        <v>3477</v>
      </c>
      <c r="M1" s="22" t="s">
        <v>3478</v>
      </c>
      <c r="N1" s="52" t="s">
        <v>3479</v>
      </c>
      <c r="O1" s="52" t="s">
        <v>3480</v>
      </c>
      <c r="P1" s="114"/>
      <c r="Q1" s="111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x14ac:dyDescent="0.25">
      <c r="A2" s="53" t="s">
        <v>23</v>
      </c>
      <c r="B2" s="30"/>
      <c r="C2" s="15" t="s">
        <v>780</v>
      </c>
      <c r="D2" s="15" t="s">
        <v>781</v>
      </c>
      <c r="F2" s="54" t="s">
        <v>3481</v>
      </c>
      <c r="G2" s="55" t="s">
        <v>93</v>
      </c>
      <c r="H2" s="30"/>
      <c r="I2" s="56" t="s">
        <v>3482</v>
      </c>
      <c r="J2" s="57">
        <v>44564</v>
      </c>
      <c r="K2" s="58"/>
      <c r="L2" s="59" t="s">
        <v>3483</v>
      </c>
      <c r="M2" s="59" t="s">
        <v>3483</v>
      </c>
      <c r="N2" s="60"/>
      <c r="O2" s="61" t="s">
        <v>3484</v>
      </c>
      <c r="P2" s="62"/>
      <c r="Q2" s="63"/>
      <c r="R2" s="30"/>
      <c r="S2" s="31"/>
      <c r="T2" s="30"/>
      <c r="U2" s="30"/>
      <c r="V2" s="30"/>
      <c r="W2" s="30"/>
      <c r="X2" s="30"/>
      <c r="Y2" s="30"/>
      <c r="Z2" s="30"/>
      <c r="AA2" s="30"/>
    </row>
    <row r="3" spans="1:27" x14ac:dyDescent="0.25">
      <c r="A3" s="53" t="s">
        <v>498</v>
      </c>
      <c r="B3" s="30"/>
      <c r="C3" s="15" t="s">
        <v>3485</v>
      </c>
      <c r="D3" s="15" t="s">
        <v>3486</v>
      </c>
      <c r="F3" s="64" t="s">
        <v>3487</v>
      </c>
      <c r="G3" s="54" t="s">
        <v>249</v>
      </c>
      <c r="H3" s="30"/>
      <c r="I3" s="56" t="s">
        <v>3488</v>
      </c>
      <c r="J3" s="65">
        <v>44565</v>
      </c>
      <c r="K3" s="58"/>
      <c r="L3" s="59" t="s">
        <v>3489</v>
      </c>
      <c r="M3" s="59" t="s">
        <v>3489</v>
      </c>
      <c r="N3" s="66"/>
      <c r="O3" s="67" t="s">
        <v>3490</v>
      </c>
      <c r="P3" s="62"/>
      <c r="Q3" s="63"/>
      <c r="R3" s="30"/>
      <c r="S3" s="31"/>
      <c r="T3" s="30"/>
      <c r="U3" s="30"/>
      <c r="V3" s="30"/>
      <c r="W3" s="30"/>
      <c r="X3" s="30"/>
      <c r="Y3" s="30"/>
      <c r="Z3" s="30"/>
      <c r="AA3" s="30"/>
    </row>
    <row r="4" spans="1:27" x14ac:dyDescent="0.25">
      <c r="A4" s="68" t="s">
        <v>643</v>
      </c>
      <c r="B4" s="31"/>
      <c r="C4" s="15" t="s">
        <v>3491</v>
      </c>
      <c r="D4" s="15" t="s">
        <v>3492</v>
      </c>
      <c r="F4" s="64" t="s">
        <v>3493</v>
      </c>
      <c r="G4" s="69" t="s">
        <v>35</v>
      </c>
      <c r="H4" s="30"/>
      <c r="I4" s="56" t="s">
        <v>3494</v>
      </c>
      <c r="J4" s="65">
        <v>44566</v>
      </c>
      <c r="K4" s="58"/>
      <c r="L4" s="70" t="s">
        <v>3495</v>
      </c>
      <c r="M4" s="70" t="s">
        <v>3495</v>
      </c>
      <c r="N4" s="66"/>
      <c r="O4" s="67" t="s">
        <v>3496</v>
      </c>
      <c r="P4" s="62"/>
      <c r="Q4" s="63"/>
      <c r="R4" s="30"/>
      <c r="S4" s="31"/>
      <c r="T4" s="30"/>
      <c r="U4" s="30"/>
      <c r="V4" s="30"/>
      <c r="W4" s="30"/>
      <c r="X4" s="30"/>
      <c r="Y4" s="30"/>
      <c r="Z4" s="30"/>
      <c r="AA4" s="30"/>
    </row>
    <row r="5" spans="1:27" x14ac:dyDescent="0.25">
      <c r="A5" s="68" t="s">
        <v>660</v>
      </c>
      <c r="B5" s="30"/>
      <c r="C5" s="15" t="s">
        <v>3497</v>
      </c>
      <c r="D5" s="15" t="s">
        <v>3498</v>
      </c>
      <c r="F5" s="64" t="s">
        <v>3499</v>
      </c>
      <c r="G5" s="71" t="s">
        <v>70</v>
      </c>
      <c r="H5" s="30"/>
      <c r="I5" s="72" t="s">
        <v>3500</v>
      </c>
      <c r="J5" s="65">
        <v>44567</v>
      </c>
      <c r="K5" s="58"/>
      <c r="L5" s="59" t="s">
        <v>3501</v>
      </c>
      <c r="M5" s="59" t="s">
        <v>3501</v>
      </c>
      <c r="N5" s="66"/>
      <c r="O5" s="67" t="s">
        <v>3502</v>
      </c>
      <c r="P5" s="62"/>
      <c r="Q5" s="63"/>
      <c r="R5" s="30"/>
      <c r="S5" s="31"/>
      <c r="T5" s="30"/>
      <c r="U5" s="30"/>
      <c r="V5" s="30"/>
      <c r="W5" s="30"/>
      <c r="X5" s="30"/>
      <c r="Y5" s="30"/>
      <c r="Z5" s="30"/>
      <c r="AA5" s="30"/>
    </row>
    <row r="6" spans="1:27" x14ac:dyDescent="0.25">
      <c r="A6" s="73"/>
      <c r="B6" s="30"/>
      <c r="C6" s="15" t="s">
        <v>3503</v>
      </c>
      <c r="D6" s="15" t="s">
        <v>762</v>
      </c>
      <c r="F6" s="64" t="s">
        <v>3504</v>
      </c>
      <c r="G6" s="54" t="s">
        <v>52</v>
      </c>
      <c r="H6" s="30"/>
      <c r="I6" s="56" t="s">
        <v>3505</v>
      </c>
      <c r="J6" s="65">
        <v>44568</v>
      </c>
      <c r="K6" s="58"/>
      <c r="L6" s="59" t="s">
        <v>3506</v>
      </c>
      <c r="M6" s="59" t="s">
        <v>3506</v>
      </c>
      <c r="N6" s="66"/>
      <c r="O6" s="67" t="s">
        <v>3507</v>
      </c>
      <c r="P6" s="62"/>
      <c r="Q6" s="63"/>
      <c r="R6" s="30"/>
      <c r="S6" s="31"/>
      <c r="T6" s="30"/>
      <c r="U6" s="30"/>
      <c r="V6" s="30"/>
      <c r="W6" s="30"/>
      <c r="X6" s="30"/>
      <c r="Y6" s="30"/>
      <c r="Z6" s="30"/>
      <c r="AA6" s="30"/>
    </row>
    <row r="7" spans="1:27" x14ac:dyDescent="0.25">
      <c r="A7" s="73"/>
      <c r="B7" s="31"/>
      <c r="C7" s="15" t="s">
        <v>3508</v>
      </c>
      <c r="D7" s="15" t="s">
        <v>3509</v>
      </c>
      <c r="F7" s="64" t="s">
        <v>3510</v>
      </c>
      <c r="G7" s="54" t="s">
        <v>46</v>
      </c>
      <c r="H7" s="30"/>
      <c r="I7" s="72" t="s">
        <v>3511</v>
      </c>
      <c r="J7" s="65">
        <v>44615</v>
      </c>
      <c r="K7" s="58"/>
      <c r="L7" s="59" t="s">
        <v>3505</v>
      </c>
      <c r="M7" s="59" t="s">
        <v>3505</v>
      </c>
      <c r="N7" s="66"/>
      <c r="O7" s="67" t="s">
        <v>3512</v>
      </c>
      <c r="P7" s="30"/>
      <c r="Q7" s="30"/>
      <c r="R7" s="30"/>
      <c r="S7" s="31"/>
      <c r="T7" s="30"/>
      <c r="U7" s="30"/>
      <c r="V7" s="30"/>
      <c r="W7" s="30"/>
      <c r="X7" s="30"/>
      <c r="Y7" s="30"/>
      <c r="Z7" s="30"/>
      <c r="AA7" s="30"/>
    </row>
    <row r="8" spans="1:27" x14ac:dyDescent="0.25">
      <c r="A8" s="73"/>
      <c r="B8" s="31"/>
      <c r="C8" s="15" t="s">
        <v>3513</v>
      </c>
      <c r="D8" s="15" t="s">
        <v>3514</v>
      </c>
      <c r="F8" s="64" t="s">
        <v>3515</v>
      </c>
      <c r="G8" s="54" t="s">
        <v>58</v>
      </c>
      <c r="H8" s="30"/>
      <c r="I8" s="74"/>
      <c r="J8" s="65">
        <v>44627</v>
      </c>
      <c r="K8" s="58"/>
      <c r="L8" s="70" t="s">
        <v>3500</v>
      </c>
      <c r="M8" s="70" t="s">
        <v>3500</v>
      </c>
      <c r="N8" s="66"/>
      <c r="O8" s="67" t="s">
        <v>3516</v>
      </c>
      <c r="P8" s="30"/>
      <c r="Q8" s="30"/>
      <c r="R8" s="30"/>
      <c r="S8" s="31"/>
      <c r="T8" s="30"/>
      <c r="U8" s="30"/>
      <c r="V8" s="30"/>
      <c r="W8" s="30"/>
      <c r="X8" s="30"/>
      <c r="Y8" s="30"/>
      <c r="Z8" s="30"/>
      <c r="AA8" s="30"/>
    </row>
    <row r="9" spans="1:27" x14ac:dyDescent="0.25">
      <c r="A9" s="75"/>
      <c r="B9" s="31"/>
      <c r="C9" s="15"/>
      <c r="D9" s="12"/>
      <c r="F9" s="64" t="s">
        <v>88</v>
      </c>
      <c r="G9" s="71" t="s">
        <v>88</v>
      </c>
      <c r="H9" s="30"/>
      <c r="I9" s="74"/>
      <c r="J9" s="65">
        <v>44628</v>
      </c>
      <c r="K9" s="58"/>
      <c r="L9" s="70" t="s">
        <v>3511</v>
      </c>
      <c r="M9" s="70" t="s">
        <v>3511</v>
      </c>
      <c r="N9" s="66"/>
      <c r="O9" s="67" t="s">
        <v>3517</v>
      </c>
      <c r="P9" s="30"/>
      <c r="Q9" s="30"/>
      <c r="R9" s="30"/>
      <c r="S9" s="31"/>
      <c r="T9" s="30"/>
      <c r="U9" s="30"/>
      <c r="V9" s="30"/>
      <c r="W9" s="30"/>
      <c r="X9" s="30"/>
      <c r="Y9" s="30"/>
      <c r="Z9" s="30"/>
      <c r="AA9" s="30"/>
    </row>
    <row r="10" spans="1:27" x14ac:dyDescent="0.25">
      <c r="A10" s="75"/>
      <c r="B10" s="31"/>
      <c r="C10" s="15"/>
      <c r="D10" s="12"/>
      <c r="F10" s="64" t="s">
        <v>3518</v>
      </c>
      <c r="G10" s="54" t="s">
        <v>19</v>
      </c>
      <c r="H10" s="30"/>
      <c r="I10" s="74"/>
      <c r="J10" s="65">
        <v>44683</v>
      </c>
      <c r="K10" s="58"/>
      <c r="L10" s="59" t="s">
        <v>3519</v>
      </c>
      <c r="M10" s="59" t="s">
        <v>3519</v>
      </c>
      <c r="N10" s="76"/>
      <c r="O10" s="67" t="s">
        <v>3520</v>
      </c>
      <c r="P10" s="30"/>
      <c r="Q10" s="30"/>
      <c r="R10" s="30"/>
      <c r="S10" s="31"/>
      <c r="T10" s="30"/>
      <c r="U10" s="30"/>
      <c r="V10" s="30"/>
      <c r="W10" s="30"/>
      <c r="X10" s="30"/>
      <c r="Y10" s="30"/>
      <c r="Z10" s="30"/>
      <c r="AA10" s="30"/>
    </row>
    <row r="11" spans="1:27" x14ac:dyDescent="0.25">
      <c r="A11" s="75"/>
      <c r="B11" s="30"/>
      <c r="C11" s="12"/>
      <c r="D11" s="12"/>
      <c r="F11" s="64" t="s">
        <v>3521</v>
      </c>
      <c r="G11" s="55" t="s">
        <v>83</v>
      </c>
      <c r="H11" s="30"/>
      <c r="I11" s="74"/>
      <c r="J11" s="65">
        <v>44684</v>
      </c>
      <c r="K11" s="58"/>
      <c r="L11" s="70" t="s">
        <v>3522</v>
      </c>
      <c r="M11" s="70" t="s">
        <v>3522</v>
      </c>
      <c r="N11" s="76"/>
      <c r="O11" s="77"/>
      <c r="P11" s="30"/>
      <c r="Q11" s="30"/>
      <c r="R11" s="30"/>
      <c r="S11" s="31"/>
      <c r="T11" s="30"/>
      <c r="U11" s="30"/>
      <c r="V11" s="30"/>
      <c r="W11" s="30"/>
      <c r="X11" s="30"/>
      <c r="Y11" s="30"/>
      <c r="Z11" s="30"/>
      <c r="AA11" s="30"/>
    </row>
    <row r="12" spans="1:27" x14ac:dyDescent="0.25">
      <c r="A12" s="73"/>
      <c r="B12" s="30"/>
      <c r="C12" s="12"/>
      <c r="D12" s="12"/>
      <c r="F12" s="64" t="s">
        <v>29</v>
      </c>
      <c r="G12" s="78" t="s">
        <v>29</v>
      </c>
      <c r="H12" s="30"/>
      <c r="I12" s="74"/>
      <c r="J12" s="65">
        <v>44690</v>
      </c>
      <c r="K12" s="58"/>
      <c r="L12" s="59" t="s">
        <v>3523</v>
      </c>
      <c r="M12" s="59" t="s">
        <v>3523</v>
      </c>
      <c r="N12" s="76"/>
      <c r="O12" s="77"/>
      <c r="P12" s="30"/>
      <c r="Q12" s="30"/>
      <c r="R12" s="30"/>
      <c r="S12" s="31"/>
      <c r="T12" s="30"/>
      <c r="U12" s="30"/>
      <c r="V12" s="30"/>
      <c r="W12" s="30"/>
      <c r="X12" s="30"/>
      <c r="Y12" s="30"/>
      <c r="Z12" s="30"/>
      <c r="AA12" s="30"/>
    </row>
    <row r="13" spans="1:27" x14ac:dyDescent="0.25">
      <c r="A13" s="75"/>
      <c r="B13" s="30"/>
      <c r="C13" s="12"/>
      <c r="D13" s="12"/>
      <c r="E13" s="30"/>
      <c r="F13" s="64" t="s">
        <v>3524</v>
      </c>
      <c r="G13" s="79" t="s">
        <v>108</v>
      </c>
      <c r="H13" s="30"/>
      <c r="I13" s="74"/>
      <c r="J13" s="65">
        <v>44691</v>
      </c>
      <c r="K13" s="58"/>
      <c r="L13" s="59" t="s">
        <v>3525</v>
      </c>
      <c r="M13" s="59" t="s">
        <v>3525</v>
      </c>
      <c r="N13" s="76"/>
      <c r="O13" s="77"/>
      <c r="P13" s="30"/>
      <c r="Q13" s="30"/>
      <c r="R13" s="30"/>
      <c r="S13" s="31"/>
      <c r="T13" s="30"/>
      <c r="U13" s="30"/>
      <c r="V13" s="30"/>
      <c r="W13" s="30"/>
      <c r="X13" s="30"/>
      <c r="Y13" s="30"/>
      <c r="Z13" s="30"/>
      <c r="AA13" s="30"/>
    </row>
    <row r="14" spans="1:27" x14ac:dyDescent="0.25">
      <c r="A14" s="75"/>
      <c r="B14" s="30"/>
      <c r="C14" s="12"/>
      <c r="D14" s="12"/>
      <c r="E14" s="30"/>
      <c r="F14" s="64" t="s">
        <v>3526</v>
      </c>
      <c r="G14" s="69" t="s">
        <v>589</v>
      </c>
      <c r="H14" s="30"/>
      <c r="I14" s="74"/>
      <c r="J14" s="65">
        <v>44725</v>
      </c>
      <c r="K14" s="58"/>
      <c r="L14" s="70" t="s">
        <v>3527</v>
      </c>
      <c r="M14" s="70" t="s">
        <v>3527</v>
      </c>
      <c r="N14" s="76"/>
      <c r="O14" s="77"/>
      <c r="P14" s="30"/>
      <c r="Q14" s="30"/>
      <c r="R14" s="30"/>
      <c r="S14" s="31"/>
      <c r="T14" s="30"/>
      <c r="U14" s="30"/>
      <c r="V14" s="30"/>
      <c r="W14" s="30"/>
      <c r="X14" s="30"/>
      <c r="Y14" s="30"/>
      <c r="Z14" s="30"/>
      <c r="AA14" s="30"/>
    </row>
    <row r="15" spans="1:27" x14ac:dyDescent="0.25">
      <c r="A15" s="75"/>
      <c r="B15" s="30"/>
      <c r="C15" s="12"/>
      <c r="D15" s="12"/>
      <c r="E15" s="30"/>
      <c r="F15" s="64" t="s">
        <v>3528</v>
      </c>
      <c r="G15" s="79" t="s">
        <v>163</v>
      </c>
      <c r="H15" s="30"/>
      <c r="I15" s="74"/>
      <c r="J15" s="65">
        <v>44803</v>
      </c>
      <c r="K15" s="58"/>
      <c r="L15" s="59" t="s">
        <v>3529</v>
      </c>
      <c r="M15" s="59" t="s">
        <v>3529</v>
      </c>
      <c r="N15" s="76"/>
      <c r="O15" s="77"/>
      <c r="P15" s="30"/>
      <c r="Q15" s="30"/>
      <c r="R15" s="30"/>
      <c r="S15" s="31"/>
      <c r="T15" s="30"/>
      <c r="U15" s="30"/>
      <c r="V15" s="30"/>
      <c r="W15" s="30"/>
      <c r="X15" s="30"/>
      <c r="Y15" s="30"/>
      <c r="Z15" s="30"/>
      <c r="AA15" s="30"/>
    </row>
    <row r="16" spans="1:27" x14ac:dyDescent="0.25">
      <c r="A16" s="75"/>
      <c r="B16" s="30"/>
      <c r="C16" s="12"/>
      <c r="D16" s="12"/>
      <c r="E16" s="30"/>
      <c r="F16" s="64" t="s">
        <v>3530</v>
      </c>
      <c r="G16" s="79" t="s">
        <v>174</v>
      </c>
      <c r="H16" s="30"/>
      <c r="I16" s="74"/>
      <c r="J16" s="65">
        <v>44869</v>
      </c>
      <c r="K16" s="58"/>
      <c r="L16" s="70" t="s">
        <v>3531</v>
      </c>
      <c r="M16" s="70" t="s">
        <v>3531</v>
      </c>
      <c r="N16" s="76"/>
      <c r="O16" s="77"/>
      <c r="P16" s="30"/>
      <c r="Q16" s="30"/>
      <c r="R16" s="30"/>
      <c r="S16" s="31"/>
      <c r="T16" s="30"/>
      <c r="U16" s="30"/>
      <c r="V16" s="30"/>
      <c r="W16" s="30"/>
      <c r="X16" s="30"/>
      <c r="Y16" s="30"/>
      <c r="Z16" s="30"/>
      <c r="AA16" s="30"/>
    </row>
    <row r="17" spans="1:27" x14ac:dyDescent="0.25">
      <c r="A17" s="75"/>
      <c r="B17" s="30"/>
      <c r="C17" s="12"/>
      <c r="D17" s="12"/>
      <c r="E17" s="30"/>
      <c r="F17" s="64" t="s">
        <v>315</v>
      </c>
      <c r="G17" s="78" t="s">
        <v>315</v>
      </c>
      <c r="H17" s="30"/>
      <c r="I17" s="74"/>
      <c r="J17" s="65"/>
      <c r="K17" s="58"/>
      <c r="L17" s="70" t="s">
        <v>3532</v>
      </c>
      <c r="M17" s="70" t="s">
        <v>3532</v>
      </c>
      <c r="N17" s="76"/>
      <c r="O17" s="77"/>
      <c r="P17" s="30"/>
      <c r="Q17" s="30"/>
      <c r="R17" s="30"/>
      <c r="S17" s="31"/>
      <c r="T17" s="30"/>
      <c r="U17" s="30"/>
      <c r="V17" s="30"/>
      <c r="W17" s="30"/>
      <c r="X17" s="30"/>
      <c r="Y17" s="30"/>
      <c r="Z17" s="30"/>
      <c r="AA17" s="30"/>
    </row>
    <row r="18" spans="1:27" x14ac:dyDescent="0.25">
      <c r="A18" s="73"/>
      <c r="B18" s="30"/>
      <c r="C18" s="12"/>
      <c r="D18" s="12"/>
      <c r="E18" s="30"/>
      <c r="F18" s="64" t="s">
        <v>199</v>
      </c>
      <c r="G18" s="78" t="s">
        <v>199</v>
      </c>
      <c r="H18" s="30"/>
      <c r="I18" s="74"/>
      <c r="J18" s="65"/>
      <c r="K18" s="58"/>
      <c r="L18" s="70" t="s">
        <v>3533</v>
      </c>
      <c r="M18" s="70" t="s">
        <v>3533</v>
      </c>
      <c r="N18" s="76"/>
      <c r="O18" s="77"/>
      <c r="P18" s="30"/>
      <c r="Q18" s="30"/>
      <c r="R18" s="30"/>
      <c r="S18" s="31"/>
      <c r="T18" s="30"/>
      <c r="U18" s="30"/>
      <c r="V18" s="30"/>
      <c r="W18" s="30"/>
      <c r="X18" s="30"/>
      <c r="Y18" s="30"/>
      <c r="Z18" s="30"/>
      <c r="AA18" s="30"/>
    </row>
    <row r="19" spans="1:27" x14ac:dyDescent="0.25">
      <c r="A19" s="75"/>
      <c r="B19" s="30"/>
      <c r="C19" s="12"/>
      <c r="D19" s="12"/>
      <c r="E19" s="30"/>
      <c r="F19" s="64" t="s">
        <v>3534</v>
      </c>
      <c r="G19" s="54" t="s">
        <v>746</v>
      </c>
      <c r="H19" s="30"/>
      <c r="I19" s="74"/>
      <c r="J19" s="65"/>
      <c r="K19" s="58"/>
      <c r="L19" s="70" t="s">
        <v>3535</v>
      </c>
      <c r="M19" s="70" t="s">
        <v>3535</v>
      </c>
      <c r="N19" s="76"/>
      <c r="O19" s="77"/>
      <c r="P19" s="30"/>
      <c r="Q19" s="30"/>
      <c r="R19" s="30"/>
      <c r="S19" s="31"/>
      <c r="T19" s="30"/>
      <c r="U19" s="30"/>
      <c r="V19" s="30"/>
      <c r="W19" s="30"/>
      <c r="X19" s="30"/>
      <c r="Y19" s="30"/>
      <c r="Z19" s="30"/>
      <c r="AA19" s="30"/>
    </row>
    <row r="20" spans="1:27" x14ac:dyDescent="0.25">
      <c r="A20" s="75"/>
      <c r="B20" s="30"/>
      <c r="C20" s="12"/>
      <c r="D20" s="12"/>
      <c r="E20" s="30"/>
      <c r="F20" s="64" t="s">
        <v>3536</v>
      </c>
      <c r="G20" s="79" t="s">
        <v>235</v>
      </c>
      <c r="H20" s="30"/>
      <c r="I20" s="74"/>
      <c r="J20" s="57"/>
      <c r="K20" s="58"/>
      <c r="L20" s="70" t="s">
        <v>3537</v>
      </c>
      <c r="M20" s="70" t="s">
        <v>3537</v>
      </c>
      <c r="N20" s="76"/>
      <c r="O20" s="77"/>
      <c r="P20" s="30"/>
      <c r="Q20" s="30"/>
      <c r="R20" s="30"/>
      <c r="S20" s="31"/>
      <c r="T20" s="30"/>
      <c r="U20" s="30"/>
      <c r="V20" s="30"/>
      <c r="W20" s="30"/>
      <c r="X20" s="30"/>
      <c r="Y20" s="30"/>
      <c r="Z20" s="30"/>
      <c r="AA20" s="30"/>
    </row>
    <row r="21" spans="1:27" x14ac:dyDescent="0.25">
      <c r="A21" s="75"/>
      <c r="B21" s="30"/>
      <c r="C21" s="12"/>
      <c r="D21" s="12"/>
      <c r="E21" s="30"/>
      <c r="F21" s="64" t="s">
        <v>3538</v>
      </c>
      <c r="G21" s="79" t="s">
        <v>333</v>
      </c>
      <c r="H21" s="30"/>
      <c r="I21" s="74"/>
      <c r="J21" s="65"/>
      <c r="K21" s="58"/>
      <c r="L21" s="70" t="s">
        <v>3539</v>
      </c>
      <c r="M21" s="70" t="s">
        <v>3539</v>
      </c>
      <c r="N21" s="76"/>
      <c r="O21" s="77"/>
      <c r="P21" s="30"/>
      <c r="Q21" s="30"/>
      <c r="R21" s="30"/>
      <c r="S21" s="31"/>
      <c r="T21" s="30"/>
      <c r="U21" s="30"/>
      <c r="V21" s="30"/>
      <c r="W21" s="30"/>
      <c r="X21" s="30"/>
      <c r="Y21" s="30"/>
      <c r="Z21" s="30"/>
      <c r="AA21" s="30"/>
    </row>
    <row r="22" spans="1:27" x14ac:dyDescent="0.25">
      <c r="A22" s="73"/>
      <c r="B22" s="30"/>
      <c r="C22" s="12"/>
      <c r="D22" s="12"/>
      <c r="E22" s="30"/>
      <c r="F22" s="64" t="s">
        <v>3540</v>
      </c>
      <c r="G22" s="79" t="s">
        <v>747</v>
      </c>
      <c r="H22" s="30"/>
      <c r="I22" s="74"/>
      <c r="J22" s="65"/>
      <c r="K22" s="58"/>
      <c r="L22" s="80" t="s">
        <v>3541</v>
      </c>
      <c r="M22" s="80" t="s">
        <v>3541</v>
      </c>
      <c r="N22" s="76"/>
      <c r="O22" s="77"/>
      <c r="P22" s="30"/>
      <c r="Q22" s="30"/>
      <c r="R22" s="30"/>
      <c r="S22" s="31"/>
      <c r="T22" s="30"/>
      <c r="U22" s="30"/>
      <c r="V22" s="30"/>
      <c r="W22" s="30"/>
      <c r="X22" s="30"/>
      <c r="Y22" s="30"/>
      <c r="Z22" s="30"/>
      <c r="AA22" s="30"/>
    </row>
    <row r="23" spans="1:27" x14ac:dyDescent="0.25">
      <c r="A23" s="75"/>
      <c r="B23" s="30"/>
      <c r="C23" s="12"/>
      <c r="D23" s="12"/>
      <c r="E23" s="30"/>
      <c r="F23" s="79" t="s">
        <v>108</v>
      </c>
      <c r="G23" s="79" t="s">
        <v>108</v>
      </c>
      <c r="H23" s="30"/>
      <c r="I23" s="74"/>
      <c r="J23" s="57"/>
      <c r="K23" s="58"/>
      <c r="L23" s="70" t="s">
        <v>3542</v>
      </c>
      <c r="M23" s="70" t="s">
        <v>3542</v>
      </c>
      <c r="N23" s="76"/>
      <c r="O23" s="77"/>
      <c r="P23" s="30"/>
      <c r="Q23" s="30"/>
      <c r="R23" s="30"/>
      <c r="S23" s="31"/>
      <c r="T23" s="30"/>
      <c r="U23" s="30"/>
      <c r="V23" s="30"/>
      <c r="W23" s="30"/>
      <c r="X23" s="30"/>
      <c r="Y23" s="30"/>
      <c r="Z23" s="30"/>
      <c r="AA23" s="30"/>
    </row>
    <row r="24" spans="1:27" x14ac:dyDescent="0.25">
      <c r="A24" s="75"/>
      <c r="B24" s="30"/>
      <c r="C24" s="12"/>
      <c r="D24" s="12"/>
      <c r="E24" s="30"/>
      <c r="F24" s="64" t="s">
        <v>3543</v>
      </c>
      <c r="G24" s="54" t="s">
        <v>3544</v>
      </c>
      <c r="H24" s="30"/>
      <c r="I24" s="74"/>
      <c r="J24" s="57"/>
      <c r="K24" s="58"/>
      <c r="L24" s="70" t="s">
        <v>3545</v>
      </c>
      <c r="M24" s="70" t="s">
        <v>3545</v>
      </c>
      <c r="N24" s="76"/>
      <c r="O24" s="77"/>
      <c r="P24" s="30"/>
      <c r="Q24" s="30"/>
      <c r="R24" s="30"/>
      <c r="S24" s="31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75"/>
      <c r="B25" s="30"/>
      <c r="C25" s="12"/>
      <c r="D25" s="12"/>
      <c r="E25" s="30"/>
      <c r="F25" s="64" t="s">
        <v>3546</v>
      </c>
      <c r="G25" s="69" t="s">
        <v>35</v>
      </c>
      <c r="H25" s="30"/>
      <c r="I25" s="74"/>
      <c r="J25" s="57"/>
      <c r="K25" s="58"/>
      <c r="L25" s="70" t="s">
        <v>3547</v>
      </c>
      <c r="M25" s="70" t="s">
        <v>3547</v>
      </c>
      <c r="N25" s="76"/>
      <c r="O25" s="77"/>
      <c r="P25" s="30"/>
      <c r="Q25" s="30"/>
      <c r="R25" s="30"/>
      <c r="S25" s="31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75"/>
      <c r="B26" s="30"/>
      <c r="C26" s="12"/>
      <c r="D26" s="12"/>
      <c r="E26" s="30"/>
      <c r="F26" s="64" t="s">
        <v>3548</v>
      </c>
      <c r="G26" s="69" t="s">
        <v>589</v>
      </c>
      <c r="H26" s="30"/>
      <c r="I26" s="74"/>
      <c r="J26" s="57"/>
      <c r="K26" s="81">
        <v>120</v>
      </c>
      <c r="L26" s="82" t="s">
        <v>3549</v>
      </c>
      <c r="M26" s="83" t="str">
        <f t="shared" ref="M26:M95" si="0">K26&amp;". "&amp;L26</f>
        <v>120. ЭГРЭС-1 АСУ ТП топливоподачи</v>
      </c>
      <c r="N26" s="60" t="s">
        <v>3550</v>
      </c>
      <c r="O26" s="77"/>
      <c r="P26" s="30"/>
      <c r="Q26" s="30"/>
      <c r="R26" s="30"/>
      <c r="S26" s="31"/>
      <c r="T26" s="30"/>
      <c r="U26" s="30"/>
      <c r="V26" s="30"/>
      <c r="W26" s="30"/>
      <c r="X26" s="30"/>
      <c r="Y26" s="30"/>
      <c r="Z26" s="30"/>
      <c r="AA26" s="30"/>
    </row>
    <row r="27" spans="1:27" x14ac:dyDescent="0.25">
      <c r="A27" s="75"/>
      <c r="B27" s="30"/>
      <c r="C27" s="12"/>
      <c r="D27" s="12"/>
      <c r="E27" s="30"/>
      <c r="F27" s="64" t="s">
        <v>3551</v>
      </c>
      <c r="G27" s="54" t="s">
        <v>52</v>
      </c>
      <c r="H27" s="30"/>
      <c r="I27" s="74"/>
      <c r="J27" s="84"/>
      <c r="K27" s="81">
        <v>145</v>
      </c>
      <c r="L27" s="82" t="s">
        <v>3552</v>
      </c>
      <c r="M27" s="83" t="str">
        <f t="shared" si="0"/>
        <v>145. ГродноТЭЦ-2 АСУ ТП ТГ2</v>
      </c>
      <c r="N27" s="60" t="s">
        <v>3553</v>
      </c>
      <c r="O27" s="77"/>
      <c r="P27" s="30"/>
      <c r="Q27" s="30"/>
      <c r="R27" s="30"/>
      <c r="S27" s="31"/>
      <c r="T27" s="30"/>
      <c r="U27" s="30"/>
      <c r="V27" s="30"/>
      <c r="W27" s="30"/>
      <c r="X27" s="30"/>
      <c r="Y27" s="30"/>
      <c r="Z27" s="30"/>
      <c r="AA27" s="30"/>
    </row>
    <row r="28" spans="1:27" x14ac:dyDescent="0.25">
      <c r="A28" s="75"/>
      <c r="B28" s="30"/>
      <c r="C28" s="12"/>
      <c r="D28" s="12"/>
      <c r="E28" s="30"/>
      <c r="F28" s="85" t="s">
        <v>3521</v>
      </c>
      <c r="G28" s="71" t="s">
        <v>83</v>
      </c>
      <c r="H28" s="30"/>
      <c r="I28" s="74"/>
      <c r="J28" s="84"/>
      <c r="K28" s="81">
        <v>167</v>
      </c>
      <c r="L28" s="82" t="s">
        <v>3554</v>
      </c>
      <c r="M28" s="83" t="str">
        <f t="shared" si="0"/>
        <v>167. НорНикель АСУ ТП КА6шт. ПНР</v>
      </c>
      <c r="N28" s="60" t="s">
        <v>3555</v>
      </c>
      <c r="O28" s="77"/>
      <c r="P28" s="30"/>
      <c r="Q28" s="30"/>
      <c r="R28" s="30"/>
      <c r="S28" s="31"/>
      <c r="T28" s="30"/>
      <c r="U28" s="30"/>
      <c r="V28" s="30"/>
      <c r="W28" s="30"/>
      <c r="X28" s="30"/>
      <c r="Y28" s="30"/>
      <c r="Z28" s="30"/>
      <c r="AA28" s="30"/>
    </row>
    <row r="29" spans="1:27" x14ac:dyDescent="0.25">
      <c r="A29" s="75"/>
      <c r="B29" s="30"/>
      <c r="C29" s="12"/>
      <c r="D29" s="12"/>
      <c r="E29" s="30"/>
      <c r="F29" s="85" t="s">
        <v>3499</v>
      </c>
      <c r="G29" s="71" t="s">
        <v>70</v>
      </c>
      <c r="H29" s="30"/>
      <c r="I29" s="74"/>
      <c r="J29" s="84"/>
      <c r="K29" s="81">
        <v>211</v>
      </c>
      <c r="L29" s="82" t="s">
        <v>3556</v>
      </c>
      <c r="M29" s="83" t="str">
        <f t="shared" si="0"/>
        <v>211. ЗеленПТС АСУ ТП КА</v>
      </c>
      <c r="N29" s="60" t="s">
        <v>3555</v>
      </c>
      <c r="O29" s="77"/>
      <c r="P29" s="30"/>
      <c r="Q29" s="30"/>
      <c r="R29" s="30"/>
      <c r="S29" s="31"/>
      <c r="T29" s="30"/>
      <c r="U29" s="30"/>
      <c r="V29" s="30"/>
      <c r="W29" s="30"/>
      <c r="X29" s="30"/>
      <c r="Y29" s="30"/>
      <c r="Z29" s="30"/>
      <c r="AA29" s="30"/>
    </row>
    <row r="30" spans="1:27" x14ac:dyDescent="0.25">
      <c r="A30" s="75"/>
      <c r="B30" s="30"/>
      <c r="C30" s="12"/>
      <c r="D30" s="12"/>
      <c r="E30" s="30"/>
      <c r="F30" s="85" t="s">
        <v>3518</v>
      </c>
      <c r="G30" s="71" t="s">
        <v>19</v>
      </c>
      <c r="H30" s="30"/>
      <c r="I30" s="74"/>
      <c r="J30" s="84"/>
      <c r="K30" s="81">
        <v>223</v>
      </c>
      <c r="L30" s="82" t="s">
        <v>3557</v>
      </c>
      <c r="M30" s="83" t="str">
        <f t="shared" si="0"/>
        <v>223. СарТЭЦ АСУ ТП КА9, ГРП-1 Сервис</v>
      </c>
      <c r="N30" s="60" t="s">
        <v>3558</v>
      </c>
      <c r="O30" s="77"/>
      <c r="P30" s="30"/>
      <c r="Q30" s="30"/>
      <c r="R30" s="30"/>
      <c r="S30" s="31"/>
      <c r="T30" s="30"/>
      <c r="U30" s="30"/>
      <c r="V30" s="30"/>
      <c r="W30" s="30"/>
      <c r="X30" s="30"/>
      <c r="Y30" s="30"/>
      <c r="Z30" s="30"/>
      <c r="AA30" s="30"/>
    </row>
    <row r="31" spans="1:27" x14ac:dyDescent="0.25">
      <c r="A31" s="75"/>
      <c r="B31" s="30"/>
      <c r="C31" s="12"/>
      <c r="D31" s="12"/>
      <c r="E31" s="31"/>
      <c r="F31" s="85" t="s">
        <v>3551</v>
      </c>
      <c r="G31" s="85" t="s">
        <v>52</v>
      </c>
      <c r="H31" s="30"/>
      <c r="I31" s="74"/>
      <c r="J31" s="84"/>
      <c r="K31" s="81">
        <v>228</v>
      </c>
      <c r="L31" s="82" t="s">
        <v>3559</v>
      </c>
      <c r="M31" s="83" t="str">
        <f t="shared" si="0"/>
        <v>228. АстТЭЦ-2 АСУ ТП ТА6</v>
      </c>
      <c r="N31" s="76"/>
      <c r="O31" s="77"/>
      <c r="P31" s="30"/>
      <c r="Q31" s="30"/>
      <c r="R31" s="30"/>
      <c r="S31" s="31"/>
      <c r="T31" s="30"/>
      <c r="U31" s="30"/>
      <c r="V31" s="30"/>
      <c r="W31" s="30"/>
      <c r="X31" s="30"/>
      <c r="Y31" s="30"/>
      <c r="Z31" s="30"/>
      <c r="AA31" s="30"/>
    </row>
    <row r="32" spans="1:27" x14ac:dyDescent="0.25">
      <c r="A32" s="75"/>
      <c r="B32" s="30"/>
      <c r="C32" s="12"/>
      <c r="D32" s="12"/>
      <c r="E32" s="31"/>
      <c r="F32" s="85" t="s">
        <v>3560</v>
      </c>
      <c r="G32" s="85" t="s">
        <v>108</v>
      </c>
      <c r="H32" s="30"/>
      <c r="I32" s="74"/>
      <c r="J32" s="84"/>
      <c r="K32" s="81">
        <v>256</v>
      </c>
      <c r="L32" s="82" t="s">
        <v>3561</v>
      </c>
      <c r="M32" s="83" t="str">
        <f t="shared" si="0"/>
        <v>256. КрасТЭЦ АСУ ТП ТГ9</v>
      </c>
      <c r="N32" s="60" t="s">
        <v>3562</v>
      </c>
      <c r="O32" s="77"/>
      <c r="P32" s="30"/>
      <c r="Q32" s="30"/>
      <c r="R32" s="30"/>
      <c r="S32" s="31"/>
      <c r="T32" s="30"/>
      <c r="U32" s="30"/>
      <c r="V32" s="30"/>
      <c r="W32" s="30"/>
      <c r="X32" s="30"/>
      <c r="Y32" s="30"/>
      <c r="Z32" s="30"/>
      <c r="AA32" s="30"/>
    </row>
    <row r="33" spans="1:27" x14ac:dyDescent="0.25">
      <c r="A33" s="75"/>
      <c r="B33" s="30"/>
      <c r="C33" s="12"/>
      <c r="D33" s="12"/>
      <c r="E33" s="31"/>
      <c r="F33" s="85" t="s">
        <v>3563</v>
      </c>
      <c r="G33" s="85" t="s">
        <v>697</v>
      </c>
      <c r="H33" s="30"/>
      <c r="I33" s="74"/>
      <c r="J33" s="84"/>
      <c r="K33" s="81">
        <v>276</v>
      </c>
      <c r="L33" s="82" t="s">
        <v>3564</v>
      </c>
      <c r="M33" s="83" t="str">
        <f t="shared" si="0"/>
        <v>276. Гвинея АСУ ТП КА4</v>
      </c>
      <c r="N33" s="60" t="s">
        <v>3558</v>
      </c>
      <c r="O33" s="77"/>
      <c r="P33" s="30"/>
      <c r="Q33" s="30"/>
      <c r="R33" s="30"/>
      <c r="S33" s="31"/>
      <c r="T33" s="30"/>
      <c r="U33" s="30"/>
      <c r="V33" s="30"/>
      <c r="W33" s="30"/>
      <c r="X33" s="30"/>
      <c r="Y33" s="30"/>
      <c r="Z33" s="30"/>
      <c r="AA33" s="30"/>
    </row>
    <row r="34" spans="1:27" x14ac:dyDescent="0.25">
      <c r="A34" s="75"/>
      <c r="B34" s="30"/>
      <c r="C34" s="12"/>
      <c r="D34" s="12"/>
      <c r="E34" s="31"/>
      <c r="F34" s="85" t="s">
        <v>683</v>
      </c>
      <c r="G34" s="85" t="s">
        <v>683</v>
      </c>
      <c r="H34" s="30"/>
      <c r="I34" s="74"/>
      <c r="J34" s="84"/>
      <c r="K34" s="81">
        <v>3</v>
      </c>
      <c r="L34" s="82" t="s">
        <v>3565</v>
      </c>
      <c r="M34" s="83" t="str">
        <f t="shared" si="0"/>
        <v>3. АстТЭЦ-3 АСУ ТП ПК1, ВК1,2,3,4</v>
      </c>
      <c r="N34" s="76"/>
      <c r="O34" s="77"/>
      <c r="P34" s="30"/>
      <c r="Q34" s="30"/>
      <c r="R34" s="30"/>
      <c r="S34" s="31"/>
      <c r="T34" s="30"/>
      <c r="U34" s="30"/>
      <c r="V34" s="30"/>
      <c r="W34" s="30"/>
      <c r="X34" s="30"/>
      <c r="Y34" s="30"/>
      <c r="Z34" s="30"/>
      <c r="AA34" s="30"/>
    </row>
    <row r="35" spans="1:27" x14ac:dyDescent="0.25">
      <c r="A35" s="75"/>
      <c r="B35" s="30"/>
      <c r="C35" s="12"/>
      <c r="D35" s="12"/>
      <c r="E35" s="31"/>
      <c r="F35" s="85" t="s">
        <v>3566</v>
      </c>
      <c r="G35" s="54" t="s">
        <v>58</v>
      </c>
      <c r="H35" s="30"/>
      <c r="I35" s="74"/>
      <c r="J35" s="84"/>
      <c r="K35" s="81">
        <v>6</v>
      </c>
      <c r="L35" s="82" t="s">
        <v>3567</v>
      </c>
      <c r="M35" s="83" t="str">
        <f t="shared" si="0"/>
        <v>6. Карелия Русский Радиатор АСОДУ</v>
      </c>
      <c r="N35" s="76"/>
      <c r="O35" s="77"/>
      <c r="P35" s="30"/>
      <c r="Q35" s="30"/>
      <c r="R35" s="30"/>
      <c r="S35" s="31"/>
      <c r="T35" s="30"/>
      <c r="U35" s="30"/>
      <c r="V35" s="30"/>
      <c r="W35" s="30"/>
      <c r="X35" s="30"/>
      <c r="Y35" s="30"/>
      <c r="Z35" s="30"/>
      <c r="AA35" s="30"/>
    </row>
    <row r="36" spans="1:27" x14ac:dyDescent="0.25">
      <c r="A36" s="75"/>
      <c r="B36" s="30"/>
      <c r="C36" s="12"/>
      <c r="D36" s="12"/>
      <c r="E36" s="31"/>
      <c r="F36" s="86"/>
      <c r="G36" s="87"/>
      <c r="H36" s="30"/>
      <c r="I36" s="74"/>
      <c r="J36" s="84"/>
      <c r="K36" s="81">
        <v>7</v>
      </c>
      <c r="L36" s="82" t="s">
        <v>3568</v>
      </c>
      <c r="M36" s="83" t="str">
        <f t="shared" si="0"/>
        <v>7. Магадан РиМ Поставка КИП</v>
      </c>
      <c r="N36" s="60" t="s">
        <v>3569</v>
      </c>
      <c r="O36" s="77"/>
      <c r="P36" s="30"/>
      <c r="Q36" s="30"/>
      <c r="R36" s="30"/>
      <c r="S36" s="31"/>
      <c r="T36" s="30"/>
      <c r="U36" s="30"/>
      <c r="V36" s="30"/>
      <c r="W36" s="30"/>
      <c r="X36" s="30"/>
      <c r="Y36" s="30"/>
      <c r="Z36" s="30"/>
      <c r="AA36" s="30"/>
    </row>
    <row r="37" spans="1:27" x14ac:dyDescent="0.25">
      <c r="A37" s="75"/>
      <c r="B37" s="30"/>
      <c r="C37" s="12"/>
      <c r="D37" s="12"/>
      <c r="E37" s="31"/>
      <c r="F37" s="86"/>
      <c r="G37" s="87"/>
      <c r="H37" s="30"/>
      <c r="I37" s="74"/>
      <c r="J37" s="84"/>
      <c r="K37" s="81">
        <v>10</v>
      </c>
      <c r="L37" s="82" t="s">
        <v>3570</v>
      </c>
      <c r="M37" s="83" t="str">
        <f t="shared" si="0"/>
        <v>10. Воронеж ТЭЦ-2 АСУ ТП КУП-1 ПИР</v>
      </c>
      <c r="N37" s="60" t="s">
        <v>3571</v>
      </c>
      <c r="O37" s="77"/>
      <c r="P37" s="30"/>
      <c r="Q37" s="30"/>
      <c r="R37" s="30"/>
      <c r="S37" s="31"/>
      <c r="T37" s="30"/>
      <c r="U37" s="30"/>
      <c r="V37" s="30"/>
      <c r="W37" s="30"/>
      <c r="X37" s="30"/>
      <c r="Y37" s="30"/>
      <c r="Z37" s="30"/>
      <c r="AA37" s="30"/>
    </row>
    <row r="38" spans="1:27" x14ac:dyDescent="0.25">
      <c r="A38" s="75"/>
      <c r="B38" s="30"/>
      <c r="C38" s="12"/>
      <c r="D38" s="12"/>
      <c r="E38" s="31"/>
      <c r="F38" s="88"/>
      <c r="G38" s="87"/>
      <c r="H38" s="30"/>
      <c r="I38" s="74"/>
      <c r="J38" s="84"/>
      <c r="K38" s="81">
        <v>11</v>
      </c>
      <c r="L38" s="82" t="s">
        <v>3572</v>
      </c>
      <c r="M38" s="83" t="str">
        <f t="shared" si="0"/>
        <v>11. НКТЭЦ-2 АСУТП ПТН</v>
      </c>
      <c r="N38" s="60" t="s">
        <v>3573</v>
      </c>
      <c r="O38" s="77"/>
      <c r="P38" s="30"/>
      <c r="Q38" s="30"/>
      <c r="R38" s="30"/>
      <c r="S38" s="31"/>
      <c r="T38" s="30"/>
      <c r="U38" s="30"/>
      <c r="V38" s="30"/>
      <c r="W38" s="30"/>
      <c r="X38" s="30"/>
      <c r="Y38" s="30"/>
      <c r="Z38" s="30"/>
      <c r="AA38" s="30"/>
    </row>
    <row r="39" spans="1:27" x14ac:dyDescent="0.25">
      <c r="A39" s="75"/>
      <c r="B39" s="30"/>
      <c r="C39" s="12"/>
      <c r="D39" s="12"/>
      <c r="E39" s="31"/>
      <c r="F39" s="88"/>
      <c r="G39" s="87"/>
      <c r="H39" s="30"/>
      <c r="I39" s="74"/>
      <c r="J39" s="84"/>
      <c r="K39" s="81">
        <v>13</v>
      </c>
      <c r="L39" s="82" t="s">
        <v>3574</v>
      </c>
      <c r="M39" s="83" t="str">
        <f t="shared" si="0"/>
        <v>13. НКГЭС САУ, вибрация ГА 1,2 ПИР</v>
      </c>
      <c r="N39" s="60" t="s">
        <v>3575</v>
      </c>
      <c r="O39" s="77"/>
      <c r="P39" s="30"/>
      <c r="Q39" s="30"/>
      <c r="R39" s="30"/>
      <c r="S39" s="31"/>
      <c r="T39" s="30"/>
      <c r="U39" s="30"/>
      <c r="V39" s="30"/>
      <c r="W39" s="30"/>
      <c r="X39" s="30"/>
      <c r="Y39" s="30"/>
      <c r="Z39" s="30"/>
      <c r="AA39" s="30"/>
    </row>
    <row r="40" spans="1:27" x14ac:dyDescent="0.25">
      <c r="A40" s="75"/>
      <c r="B40" s="30"/>
      <c r="C40" s="12"/>
      <c r="D40" s="12"/>
      <c r="E40" s="31"/>
      <c r="F40" s="87"/>
      <c r="G40" s="87"/>
      <c r="H40" s="30"/>
      <c r="I40" s="74"/>
      <c r="J40" s="84"/>
      <c r="K40" s="81">
        <v>16</v>
      </c>
      <c r="L40" s="82" t="s">
        <v>3576</v>
      </c>
      <c r="M40" s="83" t="str">
        <f t="shared" si="0"/>
        <v>16. CарТЭЦ АСУ ТП ТГ9 ПНР</v>
      </c>
      <c r="N40" s="60" t="s">
        <v>3558</v>
      </c>
      <c r="O40" s="77"/>
      <c r="P40" s="30"/>
      <c r="Q40" s="30"/>
      <c r="R40" s="30"/>
      <c r="S40" s="31"/>
      <c r="T40" s="30"/>
      <c r="U40" s="30"/>
      <c r="V40" s="30"/>
      <c r="W40" s="30"/>
      <c r="X40" s="30"/>
      <c r="Y40" s="30"/>
      <c r="Z40" s="30"/>
      <c r="AA40" s="30"/>
    </row>
    <row r="41" spans="1:27" x14ac:dyDescent="0.25">
      <c r="A41" s="75"/>
      <c r="B41" s="30"/>
      <c r="C41" s="12"/>
      <c r="D41" s="12"/>
      <c r="E41" s="31"/>
      <c r="F41" s="88"/>
      <c r="G41" s="87"/>
      <c r="H41" s="30"/>
      <c r="I41" s="74"/>
      <c r="J41" s="84"/>
      <c r="K41" s="81">
        <v>18</v>
      </c>
      <c r="L41" s="82" t="s">
        <v>3577</v>
      </c>
      <c r="M41" s="83" t="str">
        <f t="shared" si="0"/>
        <v>18. ЗГРЭС САУГ Бл2,11 Поставка ШУ</v>
      </c>
      <c r="N41" s="60" t="s">
        <v>3562</v>
      </c>
      <c r="O41" s="77"/>
      <c r="P41" s="30"/>
      <c r="Q41" s="30"/>
      <c r="R41" s="30"/>
      <c r="S41" s="31"/>
      <c r="T41" s="30"/>
      <c r="U41" s="30"/>
      <c r="V41" s="30"/>
      <c r="W41" s="30"/>
      <c r="X41" s="30"/>
      <c r="Y41" s="30"/>
      <c r="Z41" s="30"/>
      <c r="AA41" s="30"/>
    </row>
    <row r="42" spans="1:27" x14ac:dyDescent="0.25">
      <c r="A42" s="75"/>
      <c r="B42" s="30"/>
      <c r="C42" s="12"/>
      <c r="D42" s="12"/>
      <c r="E42" s="31"/>
      <c r="F42" s="88"/>
      <c r="G42" s="87"/>
      <c r="H42" s="30"/>
      <c r="I42" s="74"/>
      <c r="J42" s="84"/>
      <c r="K42" s="81">
        <v>20</v>
      </c>
      <c r="L42" s="82" t="s">
        <v>3578</v>
      </c>
      <c r="M42" s="83" t="str">
        <f t="shared" si="0"/>
        <v>20. Ургалуголь АСУТП котельной</v>
      </c>
      <c r="N42" s="60" t="s">
        <v>3558</v>
      </c>
      <c r="O42" s="77"/>
      <c r="P42" s="30"/>
      <c r="Q42" s="30"/>
      <c r="R42" s="30"/>
      <c r="S42" s="31"/>
      <c r="T42" s="30"/>
      <c r="U42" s="30"/>
      <c r="V42" s="30"/>
      <c r="W42" s="30"/>
      <c r="X42" s="30"/>
      <c r="Y42" s="30"/>
      <c r="Z42" s="30"/>
      <c r="AA42" s="30"/>
    </row>
    <row r="43" spans="1:27" x14ac:dyDescent="0.25">
      <c r="A43" s="75"/>
      <c r="B43" s="30"/>
      <c r="C43" s="12"/>
      <c r="D43" s="12"/>
      <c r="E43" s="31"/>
      <c r="F43" s="87"/>
      <c r="G43" s="87"/>
      <c r="H43" s="30"/>
      <c r="I43" s="74"/>
      <c r="J43" s="84"/>
      <c r="K43" s="81">
        <v>22</v>
      </c>
      <c r="L43" s="82" t="s">
        <v>3579</v>
      </c>
      <c r="M43" s="83" t="str">
        <f t="shared" si="0"/>
        <v>22. СызТЭЦ ПГУ-200 АСУТП Сервис</v>
      </c>
      <c r="N43" s="60" t="s">
        <v>3580</v>
      </c>
      <c r="O43" s="77"/>
      <c r="P43" s="30"/>
      <c r="Q43" s="30"/>
      <c r="R43" s="30"/>
      <c r="S43" s="31"/>
      <c r="T43" s="30"/>
      <c r="U43" s="30"/>
      <c r="V43" s="30"/>
      <c r="W43" s="30"/>
      <c r="X43" s="30"/>
      <c r="Y43" s="30"/>
      <c r="Z43" s="30"/>
      <c r="AA43" s="30"/>
    </row>
    <row r="44" spans="1:27" x14ac:dyDescent="0.25">
      <c r="A44" s="75"/>
      <c r="B44" s="30"/>
      <c r="C44" s="12"/>
      <c r="D44" s="12"/>
      <c r="E44" s="31"/>
      <c r="F44" s="87"/>
      <c r="G44" s="87"/>
      <c r="H44" s="30"/>
      <c r="I44" s="74"/>
      <c r="J44" s="84"/>
      <c r="K44" s="81">
        <v>23</v>
      </c>
      <c r="L44" s="82" t="s">
        <v>3581</v>
      </c>
      <c r="M44" s="83" t="str">
        <f t="shared" si="0"/>
        <v>23. СарТЭЦ АСУТП Сервис</v>
      </c>
      <c r="N44" s="60" t="s">
        <v>3558</v>
      </c>
      <c r="O44" s="77"/>
      <c r="P44" s="30"/>
      <c r="Q44" s="30"/>
      <c r="R44" s="30"/>
      <c r="S44" s="31"/>
      <c r="T44" s="30"/>
      <c r="U44" s="30"/>
      <c r="V44" s="30"/>
      <c r="W44" s="30"/>
      <c r="X44" s="30"/>
      <c r="Y44" s="30"/>
      <c r="Z44" s="30"/>
      <c r="AA44" s="30"/>
    </row>
    <row r="45" spans="1:27" x14ac:dyDescent="0.25">
      <c r="A45" s="75"/>
      <c r="B45" s="30"/>
      <c r="C45" s="12"/>
      <c r="D45" s="12"/>
      <c r="E45" s="31"/>
      <c r="F45" s="87"/>
      <c r="G45" s="87"/>
      <c r="H45" s="30"/>
      <c r="I45" s="74"/>
      <c r="J45" s="84"/>
      <c r="K45" s="81">
        <v>24</v>
      </c>
      <c r="L45" s="82" t="s">
        <v>3582</v>
      </c>
      <c r="M45" s="83" t="str">
        <f t="shared" si="0"/>
        <v>24. КТЭЦ-1 САР ЧВД</v>
      </c>
      <c r="N45" s="60" t="s">
        <v>3583</v>
      </c>
      <c r="O45" s="77"/>
      <c r="P45" s="30"/>
      <c r="Q45" s="30"/>
      <c r="R45" s="30"/>
      <c r="S45" s="31"/>
      <c r="T45" s="30"/>
      <c r="U45" s="30"/>
      <c r="V45" s="30"/>
      <c r="W45" s="30"/>
      <c r="X45" s="30"/>
      <c r="Y45" s="30"/>
      <c r="Z45" s="30"/>
      <c r="AA45" s="30"/>
    </row>
    <row r="46" spans="1:27" x14ac:dyDescent="0.25">
      <c r="A46" s="75"/>
      <c r="B46" s="30"/>
      <c r="C46" s="12"/>
      <c r="D46" s="12"/>
      <c r="E46" s="31"/>
      <c r="F46" s="88"/>
      <c r="G46" s="87"/>
      <c r="H46" s="30"/>
      <c r="I46" s="74"/>
      <c r="J46" s="84"/>
      <c r="K46" s="81">
        <v>25</v>
      </c>
      <c r="L46" s="82" t="s">
        <v>3584</v>
      </c>
      <c r="M46" s="83" t="str">
        <f t="shared" si="0"/>
        <v>25. ПавТЭЦ-3 Сист. ПРАНА ТГ6</v>
      </c>
      <c r="N46" s="60" t="s">
        <v>3585</v>
      </c>
      <c r="O46" s="77"/>
      <c r="P46" s="30"/>
      <c r="Q46" s="30"/>
      <c r="R46" s="30"/>
      <c r="S46" s="31"/>
      <c r="T46" s="30"/>
      <c r="U46" s="30"/>
      <c r="V46" s="30"/>
      <c r="W46" s="30"/>
      <c r="X46" s="30"/>
      <c r="Y46" s="30"/>
      <c r="Z46" s="30"/>
      <c r="AA46" s="30"/>
    </row>
    <row r="47" spans="1:27" x14ac:dyDescent="0.25">
      <c r="A47" s="75"/>
      <c r="B47" s="30"/>
      <c r="C47" s="12"/>
      <c r="D47" s="12"/>
      <c r="E47" s="31"/>
      <c r="F47" s="88"/>
      <c r="G47" s="87"/>
      <c r="H47" s="30"/>
      <c r="I47" s="74"/>
      <c r="J47" s="84"/>
      <c r="K47" s="81">
        <v>26</v>
      </c>
      <c r="L47" s="82" t="s">
        <v>3586</v>
      </c>
      <c r="M47" s="83" t="str">
        <f t="shared" si="0"/>
        <v>26. ЗГРЭС АСУ Реагентов Поставка ПТК</v>
      </c>
      <c r="N47" s="60" t="s">
        <v>3562</v>
      </c>
      <c r="O47" s="77"/>
      <c r="P47" s="30"/>
      <c r="Q47" s="30"/>
      <c r="R47" s="30"/>
      <c r="S47" s="31"/>
      <c r="T47" s="30"/>
      <c r="U47" s="30"/>
      <c r="V47" s="30"/>
      <c r="W47" s="30"/>
      <c r="X47" s="30"/>
      <c r="Y47" s="30"/>
      <c r="Z47" s="30"/>
      <c r="AA47" s="30"/>
    </row>
    <row r="48" spans="1:27" x14ac:dyDescent="0.25">
      <c r="A48" s="75"/>
      <c r="B48" s="30"/>
      <c r="C48" s="12"/>
      <c r="D48" s="12"/>
      <c r="E48" s="31"/>
      <c r="F48" s="87"/>
      <c r="G48" s="87"/>
      <c r="H48" s="30"/>
      <c r="I48" s="74"/>
      <c r="J48" s="84"/>
      <c r="K48" s="81">
        <v>27</v>
      </c>
      <c r="L48" s="82" t="s">
        <v>3587</v>
      </c>
      <c r="M48" s="83" t="str">
        <f t="shared" si="0"/>
        <v>27. НКТЭЦ-2 ТО (Ремонт)</v>
      </c>
      <c r="N48" s="60" t="s">
        <v>3588</v>
      </c>
      <c r="O48" s="77"/>
      <c r="P48" s="30"/>
      <c r="Q48" s="30"/>
      <c r="R48" s="30"/>
      <c r="S48" s="31"/>
      <c r="T48" s="30"/>
      <c r="U48" s="30"/>
      <c r="V48" s="30"/>
      <c r="W48" s="30"/>
      <c r="X48" s="30"/>
      <c r="Y48" s="30"/>
      <c r="Z48" s="30"/>
      <c r="AA48" s="30"/>
    </row>
    <row r="49" spans="1:27" x14ac:dyDescent="0.25">
      <c r="A49" s="75"/>
      <c r="B49" s="30"/>
      <c r="C49" s="12"/>
      <c r="D49" s="12"/>
      <c r="E49" s="31"/>
      <c r="F49" s="88"/>
      <c r="G49" s="87"/>
      <c r="H49" s="30"/>
      <c r="I49" s="74"/>
      <c r="J49" s="84"/>
      <c r="K49" s="81">
        <v>31</v>
      </c>
      <c r="L49" s="82" t="s">
        <v>3589</v>
      </c>
      <c r="M49" s="83" t="str">
        <f t="shared" si="0"/>
        <v>31. Костромская ГРЭС метрология</v>
      </c>
      <c r="N49" s="60" t="s">
        <v>3590</v>
      </c>
      <c r="O49" s="77"/>
      <c r="P49" s="30"/>
      <c r="Q49" s="30"/>
      <c r="R49" s="30"/>
      <c r="S49" s="31"/>
      <c r="T49" s="30"/>
      <c r="U49" s="30"/>
      <c r="V49" s="30"/>
      <c r="W49" s="30"/>
      <c r="X49" s="30"/>
      <c r="Y49" s="30"/>
      <c r="Z49" s="30"/>
      <c r="AA49" s="30"/>
    </row>
    <row r="50" spans="1:27" x14ac:dyDescent="0.25">
      <c r="A50" s="75"/>
      <c r="B50" s="30"/>
      <c r="C50" s="12"/>
      <c r="D50" s="12"/>
      <c r="E50" s="31"/>
      <c r="F50" s="88"/>
      <c r="G50" s="87"/>
      <c r="H50" s="30"/>
      <c r="I50" s="74"/>
      <c r="J50" s="84"/>
      <c r="K50" s="81">
        <v>32</v>
      </c>
      <c r="L50" s="82" t="s">
        <v>3591</v>
      </c>
      <c r="M50" s="83" t="str">
        <f t="shared" si="0"/>
        <v>32. КТЭЦ-3 САУГ КА4</v>
      </c>
      <c r="N50" s="60" t="s">
        <v>3583</v>
      </c>
      <c r="O50" s="77"/>
      <c r="P50" s="30"/>
      <c r="Q50" s="30"/>
      <c r="R50" s="30"/>
      <c r="S50" s="31"/>
      <c r="T50" s="30"/>
      <c r="U50" s="30"/>
      <c r="V50" s="30"/>
      <c r="W50" s="30"/>
      <c r="X50" s="30"/>
      <c r="Y50" s="30"/>
      <c r="Z50" s="30"/>
      <c r="AA50" s="30"/>
    </row>
    <row r="51" spans="1:27" x14ac:dyDescent="0.25">
      <c r="A51" s="75"/>
      <c r="B51" s="30"/>
      <c r="C51" s="12"/>
      <c r="D51" s="12"/>
      <c r="E51" s="31"/>
      <c r="F51" s="88"/>
      <c r="G51" s="87"/>
      <c r="H51" s="30"/>
      <c r="I51" s="74"/>
      <c r="J51" s="84"/>
      <c r="K51" s="81">
        <v>33</v>
      </c>
      <c r="L51" s="82" t="s">
        <v>3592</v>
      </c>
      <c r="M51" s="83" t="str">
        <f t="shared" si="0"/>
        <v>33. Ковдор ГОК Разработка ТЗ</v>
      </c>
      <c r="N51" s="60" t="s">
        <v>3580</v>
      </c>
      <c r="O51" s="77"/>
      <c r="P51" s="30"/>
      <c r="Q51" s="30"/>
      <c r="R51" s="30"/>
      <c r="S51" s="31"/>
      <c r="T51" s="30"/>
      <c r="U51" s="30"/>
      <c r="V51" s="30"/>
      <c r="W51" s="30"/>
      <c r="X51" s="30"/>
      <c r="Y51" s="30"/>
      <c r="Z51" s="30"/>
      <c r="AA51" s="30"/>
    </row>
    <row r="52" spans="1:27" x14ac:dyDescent="0.25">
      <c r="A52" s="75"/>
      <c r="B52" s="30"/>
      <c r="C52" s="12"/>
      <c r="D52" s="12"/>
      <c r="E52" s="31"/>
      <c r="F52" s="88"/>
      <c r="G52" s="87"/>
      <c r="H52" s="30"/>
      <c r="I52" s="74"/>
      <c r="J52" s="84"/>
      <c r="K52" s="81">
        <v>34</v>
      </c>
      <c r="L52" s="82" t="s">
        <v>3593</v>
      </c>
      <c r="M52" s="83" t="str">
        <f t="shared" si="0"/>
        <v>34. ЗГРЭС Осмос ТО</v>
      </c>
      <c r="N52" s="60" t="s">
        <v>3594</v>
      </c>
      <c r="O52" s="77"/>
      <c r="P52" s="30"/>
      <c r="Q52" s="30"/>
      <c r="R52" s="30"/>
      <c r="S52" s="31"/>
      <c r="T52" s="30"/>
      <c r="U52" s="30"/>
      <c r="V52" s="30"/>
      <c r="W52" s="30"/>
      <c r="X52" s="30"/>
      <c r="Y52" s="30"/>
      <c r="Z52" s="30"/>
      <c r="AA52" s="30"/>
    </row>
    <row r="53" spans="1:27" x14ac:dyDescent="0.25">
      <c r="A53" s="75"/>
      <c r="B53" s="30"/>
      <c r="C53" s="12"/>
      <c r="D53" s="12"/>
      <c r="E53" s="31"/>
      <c r="F53" s="88"/>
      <c r="G53" s="87"/>
      <c r="H53" s="30"/>
      <c r="I53" s="74"/>
      <c r="J53" s="84"/>
      <c r="K53" s="81">
        <v>35</v>
      </c>
      <c r="L53" s="82" t="s">
        <v>3595</v>
      </c>
      <c r="M53" s="83" t="str">
        <f t="shared" si="0"/>
        <v>35. НКТЭЦ-2 ИИС КПП</v>
      </c>
      <c r="N53" s="60" t="s">
        <v>3573</v>
      </c>
      <c r="O53" s="77"/>
      <c r="P53" s="30"/>
      <c r="Q53" s="30"/>
      <c r="R53" s="30"/>
      <c r="S53" s="31"/>
      <c r="T53" s="30"/>
      <c r="U53" s="30"/>
      <c r="V53" s="30"/>
      <c r="W53" s="30"/>
      <c r="X53" s="30"/>
      <c r="Y53" s="30"/>
      <c r="Z53" s="30"/>
      <c r="AA53" s="30"/>
    </row>
    <row r="54" spans="1:27" x14ac:dyDescent="0.25">
      <c r="A54" s="75"/>
      <c r="B54" s="30"/>
      <c r="C54" s="12"/>
      <c r="D54" s="12"/>
      <c r="E54" s="30"/>
      <c r="F54" s="88"/>
      <c r="G54" s="88"/>
      <c r="H54" s="30"/>
      <c r="I54" s="74"/>
      <c r="J54" s="84"/>
      <c r="K54" s="81">
        <v>36</v>
      </c>
      <c r="L54" s="82" t="s">
        <v>3596</v>
      </c>
      <c r="M54" s="83" t="str">
        <f t="shared" si="0"/>
        <v>36. НКТЭЦ-2 АСУТП Бойлерная</v>
      </c>
      <c r="N54" s="60" t="s">
        <v>3588</v>
      </c>
      <c r="O54" s="77"/>
      <c r="P54" s="30"/>
      <c r="Q54" s="30"/>
      <c r="R54" s="30"/>
      <c r="S54" s="31"/>
      <c r="T54" s="30"/>
      <c r="U54" s="30"/>
      <c r="V54" s="30"/>
      <c r="W54" s="30"/>
      <c r="X54" s="30"/>
      <c r="Y54" s="30"/>
      <c r="Z54" s="30"/>
      <c r="AA54" s="30"/>
    </row>
    <row r="55" spans="1:27" x14ac:dyDescent="0.25">
      <c r="A55" s="75"/>
      <c r="B55" s="30"/>
      <c r="C55" s="12"/>
      <c r="D55" s="12"/>
      <c r="E55" s="30"/>
      <c r="F55" s="88"/>
      <c r="G55" s="88"/>
      <c r="H55" s="30"/>
      <c r="I55" s="74"/>
      <c r="J55" s="84"/>
      <c r="K55" s="81">
        <v>37</v>
      </c>
      <c r="L55" s="82" t="s">
        <v>3597</v>
      </c>
      <c r="M55" s="83" t="str">
        <f t="shared" si="0"/>
        <v>37. НКНХ ЗИП АСУ ТП  Поставка</v>
      </c>
      <c r="N55" s="60" t="s">
        <v>3569</v>
      </c>
      <c r="O55" s="77"/>
      <c r="P55" s="30"/>
      <c r="Q55" s="30"/>
      <c r="R55" s="30"/>
      <c r="S55" s="31"/>
      <c r="T55" s="30"/>
      <c r="U55" s="30"/>
      <c r="V55" s="30"/>
      <c r="W55" s="30"/>
      <c r="X55" s="30"/>
      <c r="Y55" s="30"/>
      <c r="Z55" s="30"/>
      <c r="AA55" s="30"/>
    </row>
    <row r="56" spans="1:27" x14ac:dyDescent="0.25">
      <c r="A56" s="75"/>
      <c r="B56" s="30"/>
      <c r="C56" s="12"/>
      <c r="D56" s="12"/>
      <c r="E56" s="30"/>
      <c r="F56" s="88"/>
      <c r="G56" s="88"/>
      <c r="H56" s="30"/>
      <c r="I56" s="74"/>
      <c r="J56" s="84"/>
      <c r="K56" s="81">
        <v>38</v>
      </c>
      <c r="L56" s="82" t="s">
        <v>3598</v>
      </c>
      <c r="M56" s="83" t="str">
        <f t="shared" si="0"/>
        <v>38. Нижнекамская БЛ-2,3 оснащение УПАСК на ВЛ</v>
      </c>
      <c r="N56" s="60" t="s">
        <v>3599</v>
      </c>
      <c r="O56" s="77"/>
      <c r="P56" s="30"/>
      <c r="Q56" s="30"/>
      <c r="R56" s="30"/>
      <c r="S56" s="31"/>
      <c r="T56" s="30"/>
      <c r="U56" s="30"/>
      <c r="V56" s="30"/>
      <c r="W56" s="30"/>
      <c r="X56" s="30"/>
      <c r="Y56" s="30"/>
      <c r="Z56" s="30"/>
      <c r="AA56" s="30"/>
    </row>
    <row r="57" spans="1:27" x14ac:dyDescent="0.25">
      <c r="A57" s="75"/>
      <c r="B57" s="30"/>
      <c r="C57" s="12"/>
      <c r="D57" s="12"/>
      <c r="E57" s="30"/>
      <c r="F57" s="88"/>
      <c r="G57" s="88"/>
      <c r="H57" s="30"/>
      <c r="I57" s="74"/>
      <c r="J57" s="84"/>
      <c r="K57" s="81">
        <v>39</v>
      </c>
      <c r="L57" s="82" t="s">
        <v>3600</v>
      </c>
      <c r="M57" s="83" t="str">
        <f t="shared" si="0"/>
        <v>39. КТЭЦ-3 Диагностика ЭТО</v>
      </c>
      <c r="N57" s="60" t="s">
        <v>3601</v>
      </c>
      <c r="O57" s="77"/>
      <c r="P57" s="30"/>
      <c r="Q57" s="30"/>
      <c r="R57" s="30"/>
      <c r="S57" s="31"/>
      <c r="T57" s="30"/>
      <c r="U57" s="30"/>
      <c r="V57" s="30"/>
      <c r="W57" s="30"/>
      <c r="X57" s="30"/>
      <c r="Y57" s="30"/>
      <c r="Z57" s="30"/>
      <c r="AA57" s="30"/>
    </row>
    <row r="58" spans="1:27" x14ac:dyDescent="0.25">
      <c r="A58" s="75"/>
      <c r="B58" s="30"/>
      <c r="C58" s="12"/>
      <c r="D58" s="12"/>
      <c r="E58" s="30"/>
      <c r="F58" s="88"/>
      <c r="G58" s="88"/>
      <c r="H58" s="30"/>
      <c r="I58" s="74"/>
      <c r="J58" s="84"/>
      <c r="K58" s="81">
        <v>40</v>
      </c>
      <c r="L58" s="82" t="s">
        <v>3602</v>
      </c>
      <c r="M58" s="83" t="str">
        <f t="shared" si="0"/>
        <v>40. НКТЭЦ-2 Диагностика ЭТО</v>
      </c>
      <c r="N58" s="60" t="s">
        <v>3601</v>
      </c>
      <c r="O58" s="77"/>
      <c r="P58" s="30"/>
      <c r="Q58" s="30"/>
      <c r="R58" s="30"/>
      <c r="S58" s="31"/>
      <c r="T58" s="30"/>
      <c r="U58" s="30"/>
      <c r="V58" s="30"/>
      <c r="W58" s="30"/>
      <c r="X58" s="30"/>
      <c r="Y58" s="30"/>
      <c r="Z58" s="30"/>
      <c r="AA58" s="30"/>
    </row>
    <row r="59" spans="1:27" x14ac:dyDescent="0.25">
      <c r="A59" s="75"/>
      <c r="B59" s="30"/>
      <c r="C59" s="12"/>
      <c r="D59" s="12"/>
      <c r="E59" s="30"/>
      <c r="F59" s="88"/>
      <c r="G59" s="88"/>
      <c r="H59" s="30"/>
      <c r="I59" s="74"/>
      <c r="J59" s="84"/>
      <c r="K59" s="81">
        <v>43</v>
      </c>
      <c r="L59" s="82" t="s">
        <v>3603</v>
      </c>
      <c r="M59" s="83" t="str">
        <f t="shared" si="0"/>
        <v>43. КТЭЦ-1 ГТУ-40 ОПРЧ</v>
      </c>
      <c r="N59" s="60" t="s">
        <v>3604</v>
      </c>
      <c r="O59" s="77"/>
      <c r="P59" s="30"/>
      <c r="Q59" s="30"/>
      <c r="R59" s="30"/>
      <c r="S59" s="31"/>
      <c r="T59" s="30"/>
      <c r="U59" s="30"/>
      <c r="V59" s="30"/>
      <c r="W59" s="30"/>
      <c r="X59" s="30"/>
      <c r="Y59" s="30"/>
      <c r="Z59" s="30"/>
      <c r="AA59" s="30"/>
    </row>
    <row r="60" spans="1:27" x14ac:dyDescent="0.25">
      <c r="A60" s="75"/>
      <c r="B60" s="30"/>
      <c r="C60" s="12"/>
      <c r="D60" s="12"/>
      <c r="E60" s="30"/>
      <c r="F60" s="88"/>
      <c r="G60" s="88"/>
      <c r="H60" s="30"/>
      <c r="I60" s="74"/>
      <c r="J60" s="84"/>
      <c r="K60" s="81">
        <v>44</v>
      </c>
      <c r="L60" s="82" t="s">
        <v>3605</v>
      </c>
      <c r="M60" s="83" t="str">
        <f t="shared" si="0"/>
        <v>44. НКТЭЦ-1 ИТР ЭТО</v>
      </c>
      <c r="N60" s="60" t="s">
        <v>3601</v>
      </c>
      <c r="O60" s="77"/>
      <c r="P60" s="30"/>
      <c r="Q60" s="30"/>
      <c r="R60" s="30"/>
      <c r="S60" s="31"/>
      <c r="T60" s="30"/>
      <c r="U60" s="30"/>
      <c r="V60" s="30"/>
      <c r="W60" s="30"/>
      <c r="X60" s="30"/>
      <c r="Y60" s="30"/>
      <c r="Z60" s="30"/>
      <c r="AA60" s="30"/>
    </row>
    <row r="61" spans="1:27" x14ac:dyDescent="0.25">
      <c r="A61" s="75"/>
      <c r="B61" s="30"/>
      <c r="C61" s="12"/>
      <c r="D61" s="12"/>
      <c r="E61" s="30"/>
      <c r="F61" s="88"/>
      <c r="G61" s="88"/>
      <c r="H61" s="30"/>
      <c r="I61" s="74"/>
      <c r="J61" s="84"/>
      <c r="K61" s="81">
        <v>45</v>
      </c>
      <c r="L61" s="82" t="s">
        <v>3606</v>
      </c>
      <c r="M61" s="83" t="str">
        <f t="shared" si="0"/>
        <v>45. ЭГРЭС-1 СМиУ ОРУ-500 ПИР</v>
      </c>
      <c r="N61" s="60" t="s">
        <v>3571</v>
      </c>
      <c r="O61" s="77"/>
      <c r="P61" s="30"/>
      <c r="Q61" s="30"/>
      <c r="R61" s="30"/>
      <c r="S61" s="31"/>
      <c r="T61" s="30"/>
      <c r="U61" s="30"/>
      <c r="V61" s="30"/>
      <c r="W61" s="30"/>
      <c r="X61" s="30"/>
      <c r="Y61" s="30"/>
      <c r="Z61" s="30"/>
      <c r="AA61" s="30"/>
    </row>
    <row r="62" spans="1:27" x14ac:dyDescent="0.25">
      <c r="A62" s="75"/>
      <c r="B62" s="30"/>
      <c r="C62" s="12"/>
      <c r="D62" s="12"/>
      <c r="E62" s="30"/>
      <c r="F62" s="88"/>
      <c r="G62" s="88"/>
      <c r="H62" s="30"/>
      <c r="I62" s="74"/>
      <c r="J62" s="84"/>
      <c r="K62" s="81">
        <v>46</v>
      </c>
      <c r="L62" s="82" t="s">
        <v>3607</v>
      </c>
      <c r="M62" s="83" t="str">
        <f t="shared" si="0"/>
        <v>46. НКТЭЦ-2 АСУТП Хим. цеха</v>
      </c>
      <c r="N62" s="60" t="s">
        <v>3573</v>
      </c>
      <c r="O62" s="77"/>
      <c r="P62" s="30"/>
      <c r="Q62" s="30"/>
      <c r="R62" s="30"/>
      <c r="S62" s="31"/>
      <c r="T62" s="30"/>
      <c r="U62" s="30"/>
      <c r="V62" s="30"/>
      <c r="W62" s="30"/>
      <c r="X62" s="30"/>
      <c r="Y62" s="30"/>
      <c r="Z62" s="30"/>
      <c r="AA62" s="30"/>
    </row>
    <row r="63" spans="1:27" x14ac:dyDescent="0.25">
      <c r="A63" s="75"/>
      <c r="B63" s="30"/>
      <c r="C63" s="12"/>
      <c r="D63" s="12"/>
      <c r="E63" s="30"/>
      <c r="F63" s="88"/>
      <c r="G63" s="88"/>
      <c r="H63" s="30"/>
      <c r="I63" s="74"/>
      <c r="J63" s="84"/>
      <c r="K63" s="81">
        <v>47</v>
      </c>
      <c r="L63" s="82" t="s">
        <v>3608</v>
      </c>
      <c r="M63" s="83" t="str">
        <f t="shared" si="0"/>
        <v>47. Благовещенская ТЭЦ САР ТГ3</v>
      </c>
      <c r="N63" s="60" t="s">
        <v>3609</v>
      </c>
      <c r="O63" s="77"/>
      <c r="P63" s="30"/>
      <c r="Q63" s="30"/>
      <c r="R63" s="30"/>
      <c r="S63" s="31"/>
      <c r="T63" s="30"/>
      <c r="U63" s="30"/>
      <c r="V63" s="30"/>
      <c r="W63" s="30"/>
      <c r="X63" s="30"/>
      <c r="Y63" s="30"/>
      <c r="Z63" s="30"/>
      <c r="AA63" s="30"/>
    </row>
    <row r="64" spans="1:27" x14ac:dyDescent="0.25">
      <c r="A64" s="75"/>
      <c r="B64" s="30"/>
      <c r="C64" s="12"/>
      <c r="D64" s="12"/>
      <c r="E64" s="30"/>
      <c r="F64" s="88"/>
      <c r="G64" s="88"/>
      <c r="H64" s="30"/>
      <c r="I64" s="74"/>
      <c r="J64" s="84"/>
      <c r="K64" s="81">
        <v>49</v>
      </c>
      <c r="L64" s="82" t="s">
        <v>3610</v>
      </c>
      <c r="M64" s="83" t="str">
        <f t="shared" si="0"/>
        <v>49. ВтГРЭС Ремонт ПТК</v>
      </c>
      <c r="N64" s="60" t="s">
        <v>3562</v>
      </c>
      <c r="O64" s="77"/>
      <c r="P64" s="30"/>
      <c r="Q64" s="30"/>
      <c r="R64" s="30"/>
      <c r="S64" s="31"/>
      <c r="T64" s="30"/>
      <c r="U64" s="30"/>
      <c r="V64" s="30"/>
      <c r="W64" s="30"/>
      <c r="X64" s="30"/>
      <c r="Y64" s="30"/>
      <c r="Z64" s="30"/>
      <c r="AA64" s="30"/>
    </row>
    <row r="65" spans="1:27" x14ac:dyDescent="0.25">
      <c r="A65" s="75"/>
      <c r="B65" s="30"/>
      <c r="C65" s="12"/>
      <c r="D65" s="12"/>
      <c r="E65" s="30"/>
      <c r="F65" s="88"/>
      <c r="G65" s="88"/>
      <c r="H65" s="30"/>
      <c r="I65" s="74"/>
      <c r="J65" s="84"/>
      <c r="K65" s="81">
        <v>50</v>
      </c>
      <c r="L65" s="82" t="s">
        <v>3611</v>
      </c>
      <c r="M65" s="83" t="str">
        <f t="shared" si="0"/>
        <v>50. ПетТЭЦ-2 АСУТП Сервис</v>
      </c>
      <c r="N65" s="60" t="s">
        <v>3594</v>
      </c>
      <c r="O65" s="77"/>
      <c r="P65" s="30"/>
      <c r="Q65" s="30"/>
      <c r="R65" s="30"/>
      <c r="S65" s="31"/>
      <c r="T65" s="30"/>
      <c r="U65" s="30"/>
      <c r="V65" s="30"/>
      <c r="W65" s="30"/>
      <c r="X65" s="30"/>
      <c r="Y65" s="30"/>
      <c r="Z65" s="30"/>
      <c r="AA65" s="30"/>
    </row>
    <row r="66" spans="1:27" x14ac:dyDescent="0.25">
      <c r="A66" s="75"/>
      <c r="B66" s="30"/>
      <c r="C66" s="12"/>
      <c r="D66" s="12"/>
      <c r="E66" s="30"/>
      <c r="F66" s="88"/>
      <c r="G66" s="88"/>
      <c r="H66" s="30"/>
      <c r="I66" s="74"/>
      <c r="J66" s="84"/>
      <c r="K66" s="81">
        <v>51</v>
      </c>
      <c r="L66" s="82" t="s">
        <v>3612</v>
      </c>
      <c r="M66" s="83" t="str">
        <f t="shared" si="0"/>
        <v>51. Усть-Кам ТЭЦ АСУТП КА14 Сервис</v>
      </c>
      <c r="N66" s="60" t="s">
        <v>3594</v>
      </c>
      <c r="O66" s="77"/>
      <c r="P66" s="30"/>
      <c r="Q66" s="30"/>
      <c r="R66" s="30"/>
      <c r="S66" s="31"/>
      <c r="T66" s="30"/>
      <c r="U66" s="30"/>
      <c r="V66" s="30"/>
      <c r="W66" s="30"/>
      <c r="X66" s="30"/>
      <c r="Y66" s="30"/>
      <c r="Z66" s="30"/>
      <c r="AA66" s="30"/>
    </row>
    <row r="67" spans="1:27" x14ac:dyDescent="0.25">
      <c r="A67" s="75"/>
      <c r="B67" s="30"/>
      <c r="C67" s="12"/>
      <c r="D67" s="12"/>
      <c r="E67" s="30"/>
      <c r="F67" s="88"/>
      <c r="G67" s="88"/>
      <c r="H67" s="30"/>
      <c r="I67" s="74"/>
      <c r="J67" s="84"/>
      <c r="K67" s="81">
        <v>52</v>
      </c>
      <c r="L67" s="82" t="s">
        <v>3613</v>
      </c>
      <c r="M67" s="83" t="str">
        <f t="shared" si="0"/>
        <v>52. Сургут АИИС КУЭ Метрология</v>
      </c>
      <c r="N67" s="60" t="s">
        <v>3590</v>
      </c>
      <c r="O67" s="77"/>
      <c r="P67" s="30"/>
      <c r="Q67" s="30"/>
      <c r="R67" s="30"/>
      <c r="S67" s="31"/>
      <c r="T67" s="30"/>
      <c r="U67" s="30"/>
      <c r="V67" s="30"/>
      <c r="W67" s="30"/>
      <c r="X67" s="30"/>
      <c r="Y67" s="30"/>
      <c r="Z67" s="30"/>
      <c r="AA67" s="30"/>
    </row>
    <row r="68" spans="1:27" x14ac:dyDescent="0.25">
      <c r="A68" s="75"/>
      <c r="B68" s="30"/>
      <c r="C68" s="12"/>
      <c r="D68" s="12"/>
      <c r="E68" s="30"/>
      <c r="F68" s="88"/>
      <c r="G68" s="88"/>
      <c r="H68" s="30"/>
      <c r="I68" s="74"/>
      <c r="J68" s="84"/>
      <c r="K68" s="81">
        <v>53</v>
      </c>
      <c r="L68" s="82" t="s">
        <v>3614</v>
      </c>
      <c r="M68" s="83" t="str">
        <f t="shared" si="0"/>
        <v>53. НКТЭЦ-1 БРОУ ПО</v>
      </c>
      <c r="N68" s="60" t="s">
        <v>3615</v>
      </c>
      <c r="O68" s="77"/>
      <c r="P68" s="30"/>
      <c r="Q68" s="30"/>
      <c r="R68" s="30"/>
      <c r="S68" s="31"/>
      <c r="T68" s="30"/>
      <c r="U68" s="30"/>
      <c r="V68" s="30"/>
      <c r="W68" s="30"/>
      <c r="X68" s="30"/>
      <c r="Y68" s="30"/>
      <c r="Z68" s="30"/>
      <c r="AA68" s="30"/>
    </row>
    <row r="69" spans="1:27" x14ac:dyDescent="0.25">
      <c r="A69" s="75"/>
      <c r="B69" s="30"/>
      <c r="C69" s="12"/>
      <c r="D69" s="12"/>
      <c r="E69" s="30"/>
      <c r="F69" s="88"/>
      <c r="G69" s="88"/>
      <c r="H69" s="30"/>
      <c r="I69" s="74"/>
      <c r="J69" s="84"/>
      <c r="K69" s="81">
        <v>54</v>
      </c>
      <c r="L69" s="82" t="s">
        <v>3616</v>
      </c>
      <c r="M69" s="83" t="str">
        <f t="shared" si="0"/>
        <v>54. НЧТЭЦ Вибрация ПИР</v>
      </c>
      <c r="N69" s="60" t="s">
        <v>3571</v>
      </c>
      <c r="O69" s="77"/>
      <c r="P69" s="30"/>
      <c r="Q69" s="30"/>
      <c r="R69" s="30"/>
      <c r="S69" s="31"/>
      <c r="T69" s="30"/>
      <c r="U69" s="30"/>
      <c r="V69" s="30"/>
      <c r="W69" s="30"/>
      <c r="X69" s="30"/>
      <c r="Y69" s="30"/>
      <c r="Z69" s="30"/>
      <c r="AA69" s="30"/>
    </row>
    <row r="70" spans="1:27" x14ac:dyDescent="0.25">
      <c r="A70" s="75"/>
      <c r="B70" s="30"/>
      <c r="C70" s="12"/>
      <c r="D70" s="12"/>
      <c r="E70" s="30"/>
      <c r="F70" s="88"/>
      <c r="G70" s="88"/>
      <c r="H70" s="30"/>
      <c r="I70" s="74"/>
      <c r="J70" s="84"/>
      <c r="K70" s="81">
        <v>56</v>
      </c>
      <c r="L70" s="82" t="s">
        <v>3617</v>
      </c>
      <c r="M70" s="83" t="str">
        <f t="shared" si="0"/>
        <v>56. Умный дом Рождествено</v>
      </c>
      <c r="N70" s="60" t="s">
        <v>3569</v>
      </c>
      <c r="O70" s="77"/>
      <c r="P70" s="30"/>
      <c r="Q70" s="30"/>
      <c r="R70" s="30"/>
      <c r="S70" s="31"/>
      <c r="T70" s="30"/>
      <c r="U70" s="30"/>
      <c r="V70" s="30"/>
      <c r="W70" s="30"/>
      <c r="X70" s="30"/>
      <c r="Y70" s="30"/>
      <c r="Z70" s="30"/>
      <c r="AA70" s="30"/>
    </row>
    <row r="71" spans="1:27" x14ac:dyDescent="0.25">
      <c r="A71" s="75"/>
      <c r="B71" s="30"/>
      <c r="C71" s="12"/>
      <c r="D71" s="12"/>
      <c r="E71" s="30"/>
      <c r="F71" s="88"/>
      <c r="G71" s="88"/>
      <c r="H71" s="30"/>
      <c r="I71" s="74"/>
      <c r="J71" s="84"/>
      <c r="K71" s="81">
        <v>57</v>
      </c>
      <c r="L71" s="82" t="s">
        <v>3618</v>
      </c>
      <c r="M71" s="83" t="str">
        <f t="shared" si="0"/>
        <v>57. ПетТЭЦ-2 ЦТРП</v>
      </c>
      <c r="N71" s="76"/>
      <c r="O71" s="77"/>
      <c r="P71" s="30"/>
      <c r="Q71" s="30"/>
      <c r="R71" s="30"/>
      <c r="S71" s="31"/>
      <c r="T71" s="30"/>
      <c r="U71" s="30"/>
      <c r="V71" s="30"/>
      <c r="W71" s="30"/>
      <c r="X71" s="30"/>
      <c r="Y71" s="30"/>
      <c r="Z71" s="30"/>
      <c r="AA71" s="30"/>
    </row>
    <row r="72" spans="1:27" x14ac:dyDescent="0.25">
      <c r="A72" s="75"/>
      <c r="B72" s="30"/>
      <c r="C72" s="12"/>
      <c r="D72" s="12"/>
      <c r="E72" s="30"/>
      <c r="F72" s="88"/>
      <c r="G72" s="88"/>
      <c r="H72" s="30"/>
      <c r="I72" s="74"/>
      <c r="J72" s="84"/>
      <c r="K72" s="81">
        <v>58</v>
      </c>
      <c r="L72" s="82" t="s">
        <v>3619</v>
      </c>
      <c r="M72" s="83" t="str">
        <f t="shared" si="0"/>
        <v>58. СарТЭЦ Диагностика ТС2</v>
      </c>
      <c r="N72" s="60" t="s">
        <v>3601</v>
      </c>
      <c r="O72" s="77"/>
      <c r="P72" s="30"/>
      <c r="Q72" s="30"/>
      <c r="R72" s="30"/>
      <c r="S72" s="31"/>
      <c r="T72" s="30"/>
      <c r="U72" s="30"/>
      <c r="V72" s="30"/>
      <c r="W72" s="30"/>
      <c r="X72" s="30"/>
      <c r="Y72" s="30"/>
      <c r="Z72" s="30"/>
      <c r="AA72" s="30"/>
    </row>
    <row r="73" spans="1:27" x14ac:dyDescent="0.25">
      <c r="A73" s="75"/>
      <c r="B73" s="30"/>
      <c r="C73" s="12"/>
      <c r="D73" s="12"/>
      <c r="E73" s="30"/>
      <c r="F73" s="88"/>
      <c r="G73" s="88"/>
      <c r="H73" s="30"/>
      <c r="I73" s="74"/>
      <c r="J73" s="84"/>
      <c r="K73" s="81">
        <v>59</v>
      </c>
      <c r="L73" s="82" t="s">
        <v>3620</v>
      </c>
      <c r="M73" s="83" t="str">
        <f t="shared" si="0"/>
        <v>59. ПавТЭЦ-3 Поверка ПТК</v>
      </c>
      <c r="N73" s="60" t="s">
        <v>3590</v>
      </c>
      <c r="O73" s="77"/>
      <c r="P73" s="30"/>
      <c r="Q73" s="30"/>
      <c r="R73" s="30"/>
      <c r="S73" s="31"/>
      <c r="T73" s="30"/>
      <c r="U73" s="30"/>
      <c r="V73" s="30"/>
      <c r="W73" s="30"/>
      <c r="X73" s="30"/>
      <c r="Y73" s="30"/>
      <c r="Z73" s="30"/>
      <c r="AA73" s="30"/>
    </row>
    <row r="74" spans="1:27" x14ac:dyDescent="0.25">
      <c r="A74" s="75"/>
      <c r="B74" s="30"/>
      <c r="C74" s="12"/>
      <c r="D74" s="12"/>
      <c r="E74" s="30"/>
      <c r="F74" s="88"/>
      <c r="G74" s="88"/>
      <c r="H74" s="30"/>
      <c r="I74" s="74"/>
      <c r="J74" s="84"/>
      <c r="K74" s="81">
        <v>60</v>
      </c>
      <c r="L74" s="82" t="s">
        <v>3621</v>
      </c>
      <c r="M74" s="83" t="str">
        <f t="shared" si="0"/>
        <v>60. ЭГРЭС-1 АСУТП Бл3 Апгрейд</v>
      </c>
      <c r="N74" s="60" t="s">
        <v>3622</v>
      </c>
      <c r="O74" s="77"/>
      <c r="P74" s="30"/>
      <c r="Q74" s="30"/>
      <c r="R74" s="30"/>
      <c r="S74" s="31"/>
      <c r="T74" s="30"/>
      <c r="U74" s="30"/>
      <c r="V74" s="30"/>
      <c r="W74" s="30"/>
      <c r="X74" s="30"/>
      <c r="Y74" s="30"/>
      <c r="Z74" s="30"/>
      <c r="AA74" s="30"/>
    </row>
    <row r="75" spans="1:27" x14ac:dyDescent="0.25">
      <c r="A75" s="75"/>
      <c r="B75" s="30"/>
      <c r="C75" s="12"/>
      <c r="D75" s="12"/>
      <c r="E75" s="30"/>
      <c r="F75" s="88"/>
      <c r="G75" s="88"/>
      <c r="H75" s="30"/>
      <c r="I75" s="74"/>
      <c r="J75" s="84"/>
      <c r="K75" s="81">
        <v>61</v>
      </c>
      <c r="L75" s="82" t="s">
        <v>3623</v>
      </c>
      <c r="M75" s="83" t="str">
        <f t="shared" si="0"/>
        <v>61. Самарская ГРЭС Метрология</v>
      </c>
      <c r="N75" s="60" t="s">
        <v>3590</v>
      </c>
      <c r="O75" s="77"/>
      <c r="P75" s="30"/>
      <c r="Q75" s="30"/>
      <c r="R75" s="30"/>
      <c r="S75" s="31"/>
      <c r="T75" s="30"/>
      <c r="U75" s="30"/>
      <c r="V75" s="30"/>
      <c r="W75" s="30"/>
      <c r="X75" s="30"/>
      <c r="Y75" s="30"/>
      <c r="Z75" s="30"/>
      <c r="AA75" s="30"/>
    </row>
    <row r="76" spans="1:27" x14ac:dyDescent="0.25">
      <c r="A76" s="75"/>
      <c r="B76" s="30"/>
      <c r="C76" s="12"/>
      <c r="D76" s="12"/>
      <c r="E76" s="30"/>
      <c r="F76" s="88"/>
      <c r="G76" s="88"/>
      <c r="H76" s="30"/>
      <c r="I76" s="74"/>
      <c r="J76" s="84"/>
      <c r="K76" s="81">
        <v>63</v>
      </c>
      <c r="L76" s="82" t="s">
        <v>3624</v>
      </c>
      <c r="M76" s="83" t="str">
        <f t="shared" si="0"/>
        <v>63. НКТЭЦ-2 Вент ПТН 5</v>
      </c>
      <c r="N76" s="60" t="s">
        <v>3573</v>
      </c>
      <c r="O76" s="77"/>
      <c r="P76" s="30"/>
      <c r="Q76" s="30"/>
      <c r="R76" s="30"/>
      <c r="S76" s="31"/>
      <c r="T76" s="30"/>
      <c r="U76" s="30"/>
      <c r="V76" s="30"/>
      <c r="W76" s="30"/>
      <c r="X76" s="30"/>
      <c r="Y76" s="30"/>
      <c r="Z76" s="30"/>
      <c r="AA76" s="30"/>
    </row>
    <row r="77" spans="1:27" x14ac:dyDescent="0.25">
      <c r="A77" s="75"/>
      <c r="B77" s="30"/>
      <c r="C77" s="12"/>
      <c r="D77" s="12"/>
      <c r="E77" s="30"/>
      <c r="F77" s="88"/>
      <c r="G77" s="88"/>
      <c r="H77" s="30"/>
      <c r="I77" s="74"/>
      <c r="J77" s="84"/>
      <c r="K77" s="81">
        <v>64</v>
      </c>
      <c r="L77" s="82" t="s">
        <v>3625</v>
      </c>
      <c r="M77" s="83" t="str">
        <f t="shared" si="0"/>
        <v>64. КТЭЦ-3 САУГ КА4 Ав. надзор</v>
      </c>
      <c r="N77" s="60" t="s">
        <v>3571</v>
      </c>
      <c r="O77" s="77"/>
      <c r="P77" s="30"/>
      <c r="Q77" s="30"/>
      <c r="R77" s="30"/>
      <c r="S77" s="31"/>
      <c r="T77" s="30"/>
      <c r="U77" s="30"/>
      <c r="V77" s="30"/>
      <c r="W77" s="30"/>
      <c r="X77" s="30"/>
      <c r="Y77" s="30"/>
      <c r="Z77" s="30"/>
      <c r="AA77" s="30"/>
    </row>
    <row r="78" spans="1:27" x14ac:dyDescent="0.25">
      <c r="A78" s="75"/>
      <c r="B78" s="30"/>
      <c r="C78" s="12"/>
      <c r="D78" s="12"/>
      <c r="E78" s="30"/>
      <c r="F78" s="88"/>
      <c r="G78" s="88"/>
      <c r="H78" s="30"/>
      <c r="I78" s="74"/>
      <c r="J78" s="84"/>
      <c r="K78" s="81">
        <v>65</v>
      </c>
      <c r="L78" s="82" t="s">
        <v>3626</v>
      </c>
      <c r="M78" s="83" t="str">
        <f t="shared" si="0"/>
        <v>65. СГК ПредТЭО 3-х объектов</v>
      </c>
      <c r="N78" s="60" t="s">
        <v>3609</v>
      </c>
      <c r="O78" s="77"/>
      <c r="P78" s="30"/>
      <c r="Q78" s="30"/>
      <c r="R78" s="30"/>
      <c r="S78" s="31"/>
      <c r="T78" s="30"/>
      <c r="U78" s="30"/>
      <c r="V78" s="30"/>
      <c r="W78" s="30"/>
      <c r="X78" s="30"/>
      <c r="Y78" s="30"/>
      <c r="Z78" s="30"/>
      <c r="AA78" s="30"/>
    </row>
    <row r="79" spans="1:27" x14ac:dyDescent="0.25">
      <c r="A79" s="75"/>
      <c r="B79" s="30"/>
      <c r="C79" s="12"/>
      <c r="D79" s="12"/>
      <c r="E79" s="30"/>
      <c r="F79" s="88"/>
      <c r="G79" s="88"/>
      <c r="H79" s="30"/>
      <c r="I79" s="74"/>
      <c r="J79" s="84"/>
      <c r="K79" s="81">
        <v>67</v>
      </c>
      <c r="L79" s="82" t="s">
        <v>3627</v>
      </c>
      <c r="M79" s="83" t="str">
        <f t="shared" si="0"/>
        <v>67. Кингисепп РДП ТГ ПНР</v>
      </c>
      <c r="N79" s="60" t="s">
        <v>3562</v>
      </c>
      <c r="O79" s="77"/>
      <c r="P79" s="30"/>
      <c r="Q79" s="30"/>
      <c r="R79" s="30"/>
      <c r="S79" s="31"/>
      <c r="T79" s="30"/>
      <c r="U79" s="30"/>
      <c r="V79" s="30"/>
      <c r="W79" s="30"/>
      <c r="X79" s="30"/>
      <c r="Y79" s="30"/>
      <c r="Z79" s="30"/>
      <c r="AA79" s="30"/>
    </row>
    <row r="80" spans="1:27" x14ac:dyDescent="0.25">
      <c r="A80" s="75"/>
      <c r="B80" s="30"/>
      <c r="C80" s="12"/>
      <c r="D80" s="12"/>
      <c r="E80" s="30"/>
      <c r="F80" s="88"/>
      <c r="G80" s="88"/>
      <c r="H80" s="30"/>
      <c r="I80" s="74"/>
      <c r="J80" s="84"/>
      <c r="K80" s="81">
        <v>68</v>
      </c>
      <c r="L80" s="82" t="s">
        <v>3628</v>
      </c>
      <c r="M80" s="83" t="str">
        <f t="shared" si="0"/>
        <v>68. Гвинея АСУТП Тех. сопровождение</v>
      </c>
      <c r="N80" s="60" t="s">
        <v>3558</v>
      </c>
      <c r="O80" s="77"/>
      <c r="P80" s="30"/>
      <c r="Q80" s="30"/>
      <c r="R80" s="30"/>
      <c r="S80" s="31"/>
      <c r="T80" s="30"/>
      <c r="U80" s="30"/>
      <c r="V80" s="30"/>
      <c r="W80" s="30"/>
      <c r="X80" s="30"/>
      <c r="Y80" s="30"/>
      <c r="Z80" s="30"/>
      <c r="AA80" s="30"/>
    </row>
    <row r="81" spans="1:27" x14ac:dyDescent="0.25">
      <c r="A81" s="75"/>
      <c r="B81" s="30"/>
      <c r="C81" s="12"/>
      <c r="D81" s="12"/>
      <c r="E81" s="30"/>
      <c r="F81" s="88"/>
      <c r="G81" s="88"/>
      <c r="H81" s="30"/>
      <c r="I81" s="74"/>
      <c r="J81" s="84"/>
      <c r="K81" s="81">
        <v>69</v>
      </c>
      <c r="L81" s="82" t="s">
        <v>3629</v>
      </c>
      <c r="M81" s="83" t="str">
        <f t="shared" si="0"/>
        <v>69. Воронеж ТЭЦ-2 АСУ ТП КУП-1 СМР</v>
      </c>
      <c r="N81" s="60" t="s">
        <v>3583</v>
      </c>
      <c r="O81" s="77"/>
      <c r="P81" s="30"/>
      <c r="Q81" s="30"/>
      <c r="R81" s="30"/>
      <c r="S81" s="31"/>
      <c r="T81" s="30"/>
      <c r="U81" s="30"/>
      <c r="V81" s="30"/>
      <c r="W81" s="30"/>
      <c r="X81" s="30"/>
      <c r="Y81" s="30"/>
      <c r="Z81" s="30"/>
      <c r="AA81" s="30"/>
    </row>
    <row r="82" spans="1:27" x14ac:dyDescent="0.25">
      <c r="A82" s="75"/>
      <c r="B82" s="30"/>
      <c r="C82" s="12"/>
      <c r="D82" s="12"/>
      <c r="E82" s="30"/>
      <c r="F82" s="88"/>
      <c r="G82" s="88"/>
      <c r="H82" s="30"/>
      <c r="I82" s="74"/>
      <c r="J82" s="84"/>
      <c r="K82" s="81">
        <v>71</v>
      </c>
      <c r="L82" s="82" t="s">
        <v>3630</v>
      </c>
      <c r="M82" s="83" t="str">
        <f t="shared" si="0"/>
        <v>71. СГК ПредТЭО +2 объекта</v>
      </c>
      <c r="N82" s="60" t="s">
        <v>3553</v>
      </c>
      <c r="O82" s="77"/>
      <c r="P82" s="30"/>
      <c r="Q82" s="30"/>
      <c r="R82" s="30"/>
      <c r="S82" s="31"/>
      <c r="T82" s="30"/>
      <c r="U82" s="30"/>
      <c r="V82" s="30"/>
      <c r="W82" s="30"/>
      <c r="X82" s="30"/>
      <c r="Y82" s="30"/>
      <c r="Z82" s="30"/>
      <c r="AA82" s="30"/>
    </row>
    <row r="83" spans="1:27" x14ac:dyDescent="0.25">
      <c r="A83" s="75"/>
      <c r="B83" s="30"/>
      <c r="C83" s="12"/>
      <c r="D83" s="12"/>
      <c r="E83" s="30"/>
      <c r="F83" s="88"/>
      <c r="G83" s="88"/>
      <c r="H83" s="30"/>
      <c r="I83" s="74"/>
      <c r="J83" s="84"/>
      <c r="K83" s="81">
        <v>72</v>
      </c>
      <c r="L83" s="82" t="s">
        <v>3631</v>
      </c>
      <c r="M83" s="83" t="str">
        <f t="shared" si="0"/>
        <v>72. КБК ЛС СМР</v>
      </c>
      <c r="N83" s="60" t="s">
        <v>3599</v>
      </c>
      <c r="O83" s="77"/>
      <c r="P83" s="30"/>
      <c r="Q83" s="30"/>
      <c r="R83" s="30"/>
      <c r="S83" s="31"/>
      <c r="T83" s="30"/>
      <c r="U83" s="30"/>
      <c r="V83" s="30"/>
      <c r="W83" s="30"/>
      <c r="X83" s="30"/>
      <c r="Y83" s="30"/>
      <c r="Z83" s="30"/>
      <c r="AA83" s="30"/>
    </row>
    <row r="84" spans="1:27" x14ac:dyDescent="0.25">
      <c r="A84" s="75"/>
      <c r="B84" s="30"/>
      <c r="C84" s="12"/>
      <c r="D84" s="12"/>
      <c r="E84" s="30"/>
      <c r="F84" s="88"/>
      <c r="G84" s="88"/>
      <c r="H84" s="30"/>
      <c r="I84" s="74"/>
      <c r="J84" s="84"/>
      <c r="K84" s="81">
        <v>73</v>
      </c>
      <c r="L84" s="82" t="s">
        <v>3632</v>
      </c>
      <c r="M84" s="83" t="str">
        <f t="shared" si="0"/>
        <v>73. Павлодар АСУТП ПНС</v>
      </c>
      <c r="N84" s="60" t="s">
        <v>3615</v>
      </c>
      <c r="O84" s="77"/>
      <c r="P84" s="30"/>
      <c r="Q84" s="30"/>
      <c r="R84" s="30"/>
      <c r="S84" s="31"/>
      <c r="T84" s="30"/>
      <c r="U84" s="30"/>
      <c r="V84" s="30"/>
      <c r="W84" s="30"/>
      <c r="X84" s="30"/>
      <c r="Y84" s="30"/>
      <c r="Z84" s="30"/>
      <c r="AA84" s="30"/>
    </row>
    <row r="85" spans="1:27" x14ac:dyDescent="0.25">
      <c r="A85" s="75"/>
      <c r="B85" s="30"/>
      <c r="C85" s="12"/>
      <c r="D85" s="12"/>
      <c r="E85" s="30"/>
      <c r="F85" s="88"/>
      <c r="G85" s="88"/>
      <c r="H85" s="30"/>
      <c r="I85" s="74"/>
      <c r="J85" s="84"/>
      <c r="K85" s="81">
        <v>74</v>
      </c>
      <c r="L85" s="82" t="s">
        <v>3633</v>
      </c>
      <c r="M85" s="83" t="str">
        <f t="shared" si="0"/>
        <v>74. НКТЭЦ-1 ИИС, САР КА7</v>
      </c>
      <c r="N85" s="60" t="s">
        <v>3634</v>
      </c>
      <c r="O85" s="77"/>
      <c r="P85" s="30"/>
      <c r="Q85" s="30"/>
      <c r="R85" s="30"/>
      <c r="S85" s="31"/>
      <c r="T85" s="30"/>
      <c r="U85" s="30"/>
      <c r="V85" s="30"/>
      <c r="W85" s="30"/>
      <c r="X85" s="30"/>
      <c r="Y85" s="30"/>
      <c r="Z85" s="30"/>
      <c r="AA85" s="30"/>
    </row>
    <row r="86" spans="1:27" x14ac:dyDescent="0.25">
      <c r="A86" s="75"/>
      <c r="B86" s="30"/>
      <c r="C86" s="12"/>
      <c r="D86" s="12"/>
      <c r="E86" s="30"/>
      <c r="F86" s="88"/>
      <c r="G86" s="88"/>
      <c r="H86" s="30"/>
      <c r="I86" s="74"/>
      <c r="J86" s="84"/>
      <c r="K86" s="81">
        <v>75</v>
      </c>
      <c r="L86" s="82" t="s">
        <v>3635</v>
      </c>
      <c r="M86" s="83" t="str">
        <f t="shared" si="0"/>
        <v>75. Чебоксарская ГЭС Метрология</v>
      </c>
      <c r="N86" s="60" t="s">
        <v>3590</v>
      </c>
      <c r="O86" s="77"/>
      <c r="P86" s="30"/>
      <c r="Q86" s="30"/>
      <c r="R86" s="30"/>
      <c r="S86" s="31"/>
      <c r="T86" s="30"/>
      <c r="U86" s="30"/>
      <c r="V86" s="30"/>
      <c r="W86" s="30"/>
      <c r="X86" s="30"/>
      <c r="Y86" s="30"/>
      <c r="Z86" s="30"/>
      <c r="AA86" s="30"/>
    </row>
    <row r="87" spans="1:27" x14ac:dyDescent="0.25">
      <c r="A87" s="75"/>
      <c r="B87" s="30"/>
      <c r="C87" s="12"/>
      <c r="D87" s="12"/>
      <c r="E87" s="30"/>
      <c r="F87" s="88"/>
      <c r="G87" s="88"/>
      <c r="H87" s="30"/>
      <c r="I87" s="74"/>
      <c r="J87" s="84"/>
      <c r="K87" s="81">
        <v>76</v>
      </c>
      <c r="L87" s="82" t="s">
        <v>3636</v>
      </c>
      <c r="M87" s="83" t="str">
        <f t="shared" si="0"/>
        <v>76. Сибур АСУТП УПП №2 ПИР</v>
      </c>
      <c r="N87" s="60" t="s">
        <v>3571</v>
      </c>
      <c r="O87" s="77"/>
      <c r="P87" s="30"/>
      <c r="Q87" s="30"/>
      <c r="R87" s="30"/>
      <c r="S87" s="31"/>
      <c r="T87" s="30"/>
      <c r="U87" s="30"/>
      <c r="V87" s="30"/>
      <c r="W87" s="30"/>
      <c r="X87" s="30"/>
      <c r="Y87" s="30"/>
      <c r="Z87" s="30"/>
      <c r="AA87" s="30"/>
    </row>
    <row r="88" spans="1:27" x14ac:dyDescent="0.25">
      <c r="A88" s="75"/>
      <c r="B88" s="30"/>
      <c r="C88" s="12"/>
      <c r="D88" s="12"/>
      <c r="E88" s="30"/>
      <c r="F88" s="88"/>
      <c r="G88" s="88"/>
      <c r="H88" s="30"/>
      <c r="I88" s="74"/>
      <c r="J88" s="84"/>
      <c r="K88" s="81">
        <v>77</v>
      </c>
      <c r="L88" s="82" t="s">
        <v>3637</v>
      </c>
      <c r="M88" s="83" t="str">
        <f t="shared" si="0"/>
        <v>77. Гвинея КА5 УПП Диагностика</v>
      </c>
      <c r="N88" s="60" t="s">
        <v>3558</v>
      </c>
      <c r="O88" s="77"/>
      <c r="P88" s="30"/>
      <c r="Q88" s="30"/>
      <c r="R88" s="30"/>
      <c r="S88" s="31"/>
      <c r="T88" s="30"/>
      <c r="U88" s="30"/>
      <c r="V88" s="30"/>
      <c r="W88" s="30"/>
      <c r="X88" s="30"/>
      <c r="Y88" s="30"/>
      <c r="Z88" s="30"/>
      <c r="AA88" s="30"/>
    </row>
    <row r="89" spans="1:27" x14ac:dyDescent="0.25">
      <c r="A89" s="75"/>
      <c r="B89" s="30"/>
      <c r="C89" s="12"/>
      <c r="D89" s="12"/>
      <c r="E89" s="30"/>
      <c r="F89" s="88"/>
      <c r="G89" s="88"/>
      <c r="H89" s="30"/>
      <c r="I89" s="74"/>
      <c r="J89" s="84"/>
      <c r="K89" s="81">
        <v>80</v>
      </c>
      <c r="L89" s="82" t="s">
        <v>3638</v>
      </c>
      <c r="M89" s="83" t="str">
        <f t="shared" si="0"/>
        <v>80. Рубцовск АСУТП ЮТС Кор. ПО</v>
      </c>
      <c r="N89" s="60" t="s">
        <v>3550</v>
      </c>
      <c r="O89" s="77"/>
      <c r="P89" s="30"/>
      <c r="Q89" s="30"/>
      <c r="R89" s="30"/>
      <c r="S89" s="31"/>
      <c r="T89" s="30"/>
      <c r="U89" s="30"/>
      <c r="V89" s="30"/>
      <c r="W89" s="30"/>
      <c r="X89" s="30"/>
      <c r="Y89" s="30"/>
      <c r="Z89" s="30"/>
      <c r="AA89" s="30"/>
    </row>
    <row r="90" spans="1:27" x14ac:dyDescent="0.25">
      <c r="A90" s="75"/>
      <c r="B90" s="30"/>
      <c r="C90" s="12"/>
      <c r="D90" s="12"/>
      <c r="E90" s="30"/>
      <c r="F90" s="88"/>
      <c r="G90" s="88"/>
      <c r="H90" s="30"/>
      <c r="I90" s="74"/>
      <c r="J90" s="84"/>
      <c r="K90" s="81">
        <v>82</v>
      </c>
      <c r="L90" s="82" t="s">
        <v>3639</v>
      </c>
      <c r="M90" s="83" t="str">
        <f t="shared" si="0"/>
        <v>82. Воронеж ТЭЦ-1 АСУТП КА16 ПНР</v>
      </c>
      <c r="N90" s="60" t="s">
        <v>3622</v>
      </c>
      <c r="O90" s="77"/>
      <c r="P90" s="30"/>
      <c r="Q90" s="30"/>
      <c r="R90" s="30"/>
      <c r="S90" s="31"/>
      <c r="T90" s="30"/>
      <c r="U90" s="30"/>
      <c r="V90" s="30"/>
      <c r="W90" s="30"/>
      <c r="X90" s="30"/>
      <c r="Y90" s="30"/>
      <c r="Z90" s="30"/>
      <c r="AA90" s="30"/>
    </row>
    <row r="91" spans="1:27" x14ac:dyDescent="0.25">
      <c r="A91" s="75"/>
      <c r="B91" s="30"/>
      <c r="C91" s="12"/>
      <c r="D91" s="12"/>
      <c r="E91" s="30"/>
      <c r="F91" s="88"/>
      <c r="G91" s="88"/>
      <c r="H91" s="30"/>
      <c r="I91" s="74"/>
      <c r="J91" s="84"/>
      <c r="K91" s="81">
        <v>83</v>
      </c>
      <c r="L91" s="82" t="s">
        <v>3640</v>
      </c>
      <c r="M91" s="83" t="str">
        <f t="shared" si="0"/>
        <v>83. Ново-Кем ТЭЦ АСУТП ПТН16 ТО</v>
      </c>
      <c r="N91" s="60" t="s">
        <v>3615</v>
      </c>
      <c r="O91" s="77"/>
      <c r="P91" s="30"/>
      <c r="Q91" s="30"/>
      <c r="R91" s="30"/>
      <c r="S91" s="31"/>
      <c r="T91" s="30"/>
      <c r="U91" s="30"/>
      <c r="V91" s="30"/>
      <c r="W91" s="30"/>
      <c r="X91" s="30"/>
      <c r="Y91" s="30"/>
      <c r="Z91" s="30"/>
      <c r="AA91" s="30"/>
    </row>
    <row r="92" spans="1:27" x14ac:dyDescent="0.25">
      <c r="A92" s="75"/>
      <c r="B92" s="30"/>
      <c r="C92" s="12"/>
      <c r="D92" s="12"/>
      <c r="E92" s="30"/>
      <c r="F92" s="88"/>
      <c r="G92" s="88"/>
      <c r="H92" s="30"/>
      <c r="I92" s="74"/>
      <c r="J92" s="84"/>
      <c r="K92" s="81">
        <v>88</v>
      </c>
      <c r="L92" s="82" t="s">
        <v>3641</v>
      </c>
      <c r="M92" s="83" t="str">
        <f t="shared" si="0"/>
        <v>88. РК Азино АСР ПНР</v>
      </c>
      <c r="N92" s="60" t="s">
        <v>3583</v>
      </c>
      <c r="O92" s="77"/>
      <c r="P92" s="30"/>
      <c r="Q92" s="30"/>
      <c r="R92" s="30"/>
      <c r="S92" s="31"/>
      <c r="T92" s="30"/>
      <c r="U92" s="30"/>
      <c r="V92" s="30"/>
      <c r="W92" s="30"/>
      <c r="X92" s="30"/>
      <c r="Y92" s="30"/>
      <c r="Z92" s="30"/>
      <c r="AA92" s="30"/>
    </row>
    <row r="93" spans="1:27" x14ac:dyDescent="0.25">
      <c r="A93" s="75"/>
      <c r="B93" s="30"/>
      <c r="C93" s="12"/>
      <c r="D93" s="12"/>
      <c r="E93" s="30"/>
      <c r="F93" s="88"/>
      <c r="G93" s="88"/>
      <c r="H93" s="30"/>
      <c r="I93" s="74"/>
      <c r="J93" s="84"/>
      <c r="K93" s="89">
        <v>94</v>
      </c>
      <c r="L93" s="90" t="s">
        <v>3642</v>
      </c>
      <c r="M93" s="83" t="str">
        <f t="shared" si="0"/>
        <v>94. Челябинская ТЭЦ-2 ПНР</v>
      </c>
      <c r="N93" s="60" t="s">
        <v>3555</v>
      </c>
      <c r="O93" s="77"/>
      <c r="P93" s="30"/>
      <c r="Q93" s="30"/>
      <c r="R93" s="30"/>
      <c r="S93" s="31"/>
      <c r="T93" s="30"/>
      <c r="U93" s="30"/>
      <c r="V93" s="30"/>
      <c r="W93" s="30"/>
      <c r="X93" s="30"/>
      <c r="Y93" s="30"/>
      <c r="Z93" s="30"/>
      <c r="AA93" s="30"/>
    </row>
    <row r="94" spans="1:27" x14ac:dyDescent="0.25">
      <c r="A94" s="75"/>
      <c r="B94" s="30"/>
      <c r="C94" s="12"/>
      <c r="D94" s="12"/>
      <c r="E94" s="30"/>
      <c r="F94" s="88"/>
      <c r="G94" s="88"/>
      <c r="H94" s="30"/>
      <c r="I94" s="74"/>
      <c r="J94" s="84"/>
      <c r="K94" s="89">
        <v>97</v>
      </c>
      <c r="L94" s="90" t="s">
        <v>3643</v>
      </c>
      <c r="M94" s="83" t="str">
        <f t="shared" si="0"/>
        <v>97. Актау ТЭЦ-3 Обучение</v>
      </c>
      <c r="N94" s="60" t="s">
        <v>3644</v>
      </c>
      <c r="O94" s="77"/>
      <c r="P94" s="30"/>
      <c r="Q94" s="30"/>
      <c r="R94" s="30"/>
      <c r="S94" s="31"/>
      <c r="T94" s="30"/>
      <c r="U94" s="30"/>
      <c r="V94" s="30"/>
      <c r="W94" s="30"/>
      <c r="X94" s="30"/>
      <c r="Y94" s="30"/>
      <c r="Z94" s="30"/>
      <c r="AA94" s="30"/>
    </row>
    <row r="95" spans="1:27" x14ac:dyDescent="0.25">
      <c r="A95" s="75"/>
      <c r="B95" s="30"/>
      <c r="C95" s="12"/>
      <c r="D95" s="12"/>
      <c r="E95" s="30"/>
      <c r="F95" s="88"/>
      <c r="G95" s="88"/>
      <c r="H95" s="30"/>
      <c r="I95" s="74"/>
      <c r="J95" s="84"/>
      <c r="K95" s="91">
        <v>100</v>
      </c>
      <c r="L95" s="92" t="s">
        <v>3645</v>
      </c>
      <c r="M95" s="83" t="str">
        <f t="shared" si="0"/>
        <v>100. Резерв</v>
      </c>
      <c r="N95" s="76"/>
      <c r="O95" s="77"/>
      <c r="P95" s="30"/>
      <c r="Q95" s="30"/>
      <c r="R95" s="30"/>
      <c r="S95" s="31"/>
      <c r="T95" s="30"/>
      <c r="U95" s="30"/>
      <c r="V95" s="30"/>
      <c r="W95" s="30"/>
      <c r="X95" s="30"/>
      <c r="Y95" s="30"/>
      <c r="Z95" s="30"/>
      <c r="AA95" s="30"/>
    </row>
    <row r="96" spans="1:27" x14ac:dyDescent="0.25">
      <c r="A96" s="75"/>
      <c r="B96" s="30"/>
      <c r="C96" s="12"/>
      <c r="D96" s="12"/>
      <c r="E96" s="30"/>
      <c r="F96" s="88"/>
      <c r="G96" s="88"/>
      <c r="H96" s="30"/>
      <c r="I96" s="74"/>
      <c r="J96" s="84"/>
      <c r="K96" s="91"/>
      <c r="L96" s="92"/>
      <c r="M96" s="83"/>
      <c r="N96" s="60"/>
      <c r="O96" s="77"/>
      <c r="P96" s="30"/>
      <c r="Q96" s="30"/>
      <c r="R96" s="30"/>
      <c r="S96" s="31"/>
      <c r="T96" s="30"/>
      <c r="U96" s="30"/>
      <c r="V96" s="30"/>
      <c r="W96" s="30"/>
      <c r="X96" s="30"/>
      <c r="Y96" s="30"/>
      <c r="Z96" s="30"/>
      <c r="AA96" s="30"/>
    </row>
    <row r="97" spans="1:27" x14ac:dyDescent="0.25">
      <c r="A97" s="75"/>
      <c r="B97" s="30"/>
      <c r="C97" s="12"/>
      <c r="D97" s="12"/>
      <c r="E97" s="30"/>
      <c r="F97" s="88"/>
      <c r="G97" s="88"/>
      <c r="H97" s="30"/>
      <c r="I97" s="74"/>
      <c r="J97" s="84"/>
      <c r="K97" s="91"/>
      <c r="L97" s="92"/>
      <c r="M97" s="83"/>
      <c r="N97" s="60"/>
      <c r="O97" s="77"/>
      <c r="P97" s="30"/>
      <c r="Q97" s="30"/>
      <c r="R97" s="30"/>
      <c r="S97" s="31"/>
      <c r="T97" s="30"/>
      <c r="U97" s="30"/>
      <c r="V97" s="30"/>
      <c r="W97" s="30"/>
      <c r="X97" s="30"/>
      <c r="Y97" s="30"/>
      <c r="Z97" s="30"/>
      <c r="AA97" s="30"/>
    </row>
    <row r="98" spans="1:27" x14ac:dyDescent="0.25">
      <c r="A98" s="75"/>
      <c r="B98" s="30"/>
      <c r="C98" s="12"/>
      <c r="D98" s="12"/>
      <c r="E98" s="30"/>
      <c r="F98" s="88"/>
      <c r="G98" s="88"/>
      <c r="H98" s="30"/>
      <c r="I98" s="74"/>
      <c r="J98" s="84"/>
      <c r="K98" s="91"/>
      <c r="L98" s="92"/>
      <c r="M98" s="83"/>
      <c r="N98" s="60"/>
      <c r="O98" s="77"/>
      <c r="P98" s="30"/>
      <c r="Q98" s="30"/>
      <c r="R98" s="30"/>
      <c r="S98" s="31"/>
      <c r="T98" s="30"/>
      <c r="U98" s="30"/>
      <c r="V98" s="30"/>
      <c r="W98" s="30"/>
      <c r="X98" s="30"/>
      <c r="Y98" s="30"/>
      <c r="Z98" s="30"/>
      <c r="AA98" s="30"/>
    </row>
    <row r="99" spans="1:27" x14ac:dyDescent="0.25">
      <c r="A99" s="75"/>
      <c r="B99" s="30"/>
      <c r="C99" s="12"/>
      <c r="D99" s="12"/>
      <c r="E99" s="30"/>
      <c r="F99" s="88"/>
      <c r="G99" s="88"/>
      <c r="H99" s="30"/>
      <c r="I99" s="74"/>
      <c r="J99" s="84"/>
      <c r="K99" s="91"/>
      <c r="L99" s="92"/>
      <c r="M99" s="83"/>
      <c r="N99" s="76"/>
      <c r="O99" s="77"/>
      <c r="P99" s="30"/>
      <c r="Q99" s="30"/>
      <c r="R99" s="30"/>
      <c r="S99" s="31"/>
      <c r="T99" s="30"/>
      <c r="U99" s="30"/>
      <c r="V99" s="30"/>
      <c r="W99" s="30"/>
      <c r="X99" s="30"/>
      <c r="Y99" s="30"/>
      <c r="Z99" s="30"/>
      <c r="AA99" s="30"/>
    </row>
    <row r="100" spans="1:27" x14ac:dyDescent="0.25">
      <c r="A100" s="75"/>
      <c r="B100" s="30"/>
      <c r="C100" s="12"/>
      <c r="D100" s="12"/>
      <c r="E100" s="30"/>
      <c r="F100" s="88"/>
      <c r="G100" s="88"/>
      <c r="H100" s="30"/>
      <c r="I100" s="74"/>
      <c r="J100" s="84"/>
      <c r="K100" s="93">
        <v>190</v>
      </c>
      <c r="L100" s="93" t="s">
        <v>3646</v>
      </c>
      <c r="M100" s="94" t="s">
        <v>3647</v>
      </c>
      <c r="N100" s="95" t="s">
        <v>3553</v>
      </c>
      <c r="O100" s="77"/>
      <c r="P100" s="30"/>
      <c r="Q100" s="30"/>
      <c r="R100" s="30"/>
      <c r="S100" s="31"/>
      <c r="T100" s="30"/>
      <c r="U100" s="30"/>
      <c r="V100" s="30"/>
      <c r="W100" s="30"/>
      <c r="X100" s="30"/>
      <c r="Y100" s="30"/>
      <c r="Z100" s="30"/>
      <c r="AA100" s="30"/>
    </row>
    <row r="101" spans="1:27" x14ac:dyDescent="0.25">
      <c r="A101" s="75"/>
      <c r="B101" s="30"/>
      <c r="C101" s="12"/>
      <c r="D101" s="12"/>
      <c r="E101" s="30"/>
      <c r="F101" s="88"/>
      <c r="G101" s="88"/>
      <c r="H101" s="30"/>
      <c r="I101" s="74"/>
      <c r="J101" s="84"/>
      <c r="K101" s="93">
        <v>214</v>
      </c>
      <c r="L101" s="93" t="s">
        <v>3648</v>
      </c>
      <c r="M101" s="94" t="s">
        <v>3649</v>
      </c>
      <c r="N101" s="95" t="s">
        <v>3601</v>
      </c>
      <c r="O101" s="77"/>
      <c r="P101" s="30"/>
      <c r="Q101" s="30"/>
      <c r="R101" s="30"/>
      <c r="S101" s="31"/>
      <c r="T101" s="30"/>
      <c r="U101" s="30"/>
      <c r="V101" s="30"/>
      <c r="W101" s="30"/>
      <c r="X101" s="30"/>
      <c r="Y101" s="30"/>
      <c r="Z101" s="30"/>
      <c r="AA101" s="30"/>
    </row>
    <row r="102" spans="1:27" x14ac:dyDescent="0.25">
      <c r="A102" s="75"/>
      <c r="B102" s="30"/>
      <c r="C102" s="12"/>
      <c r="D102" s="12"/>
      <c r="E102" s="30"/>
      <c r="F102" s="88"/>
      <c r="G102" s="88"/>
      <c r="H102" s="30"/>
      <c r="I102" s="74"/>
      <c r="J102" s="84"/>
      <c r="K102" s="93">
        <v>213</v>
      </c>
      <c r="L102" s="93" t="s">
        <v>3650</v>
      </c>
      <c r="M102" s="94" t="s">
        <v>3651</v>
      </c>
      <c r="N102" s="95" t="s">
        <v>3601</v>
      </c>
      <c r="O102" s="77"/>
      <c r="P102" s="30"/>
      <c r="Q102" s="30"/>
      <c r="R102" s="30"/>
      <c r="S102" s="31"/>
      <c r="T102" s="30"/>
      <c r="U102" s="30"/>
      <c r="V102" s="30"/>
      <c r="W102" s="30"/>
      <c r="X102" s="30"/>
      <c r="Y102" s="30"/>
      <c r="Z102" s="30"/>
      <c r="AA102" s="30"/>
    </row>
    <row r="103" spans="1:27" x14ac:dyDescent="0.25">
      <c r="A103" s="75"/>
      <c r="B103" s="30"/>
      <c r="C103" s="12"/>
      <c r="D103" s="12"/>
      <c r="E103" s="30"/>
      <c r="F103" s="88"/>
      <c r="G103" s="88"/>
      <c r="H103" s="30"/>
      <c r="I103" s="74"/>
      <c r="J103" s="84"/>
      <c r="K103" s="93">
        <v>212</v>
      </c>
      <c r="L103" s="93" t="s">
        <v>3652</v>
      </c>
      <c r="M103" s="94" t="s">
        <v>3653</v>
      </c>
      <c r="N103" s="95"/>
      <c r="O103" s="77"/>
      <c r="P103" s="30"/>
      <c r="Q103" s="30"/>
      <c r="R103" s="30"/>
      <c r="S103" s="31"/>
      <c r="T103" s="30"/>
      <c r="U103" s="30"/>
      <c r="V103" s="30"/>
      <c r="W103" s="30"/>
      <c r="X103" s="30"/>
      <c r="Y103" s="30"/>
      <c r="Z103" s="30"/>
      <c r="AA103" s="30"/>
    </row>
    <row r="104" spans="1:27" x14ac:dyDescent="0.25">
      <c r="A104" s="75"/>
      <c r="B104" s="30"/>
      <c r="C104" s="12"/>
      <c r="D104" s="12"/>
      <c r="E104" s="30"/>
      <c r="F104" s="88"/>
      <c r="G104" s="88"/>
      <c r="H104" s="30"/>
      <c r="I104" s="74"/>
      <c r="J104" s="84"/>
      <c r="K104" s="93">
        <v>210</v>
      </c>
      <c r="L104" s="93" t="s">
        <v>3654</v>
      </c>
      <c r="M104" s="94" t="s">
        <v>3655</v>
      </c>
      <c r="N104" s="95" t="s">
        <v>3656</v>
      </c>
      <c r="O104" s="77"/>
      <c r="P104" s="30"/>
      <c r="Q104" s="30"/>
      <c r="R104" s="30"/>
      <c r="S104" s="31"/>
      <c r="T104" s="30"/>
      <c r="U104" s="30"/>
      <c r="V104" s="30"/>
      <c r="W104" s="30"/>
      <c r="X104" s="30"/>
      <c r="Y104" s="30"/>
      <c r="Z104" s="30"/>
      <c r="AA104" s="30"/>
    </row>
    <row r="105" spans="1:27" x14ac:dyDescent="0.25">
      <c r="A105" s="75"/>
      <c r="B105" s="30"/>
      <c r="C105" s="12"/>
      <c r="D105" s="12"/>
      <c r="E105" s="30"/>
      <c r="F105" s="88"/>
      <c r="G105" s="88"/>
      <c r="H105" s="30"/>
      <c r="I105" s="74"/>
      <c r="J105" s="84"/>
      <c r="K105" s="93">
        <v>209</v>
      </c>
      <c r="L105" s="93" t="s">
        <v>3657</v>
      </c>
      <c r="M105" s="94" t="s">
        <v>3658</v>
      </c>
      <c r="N105" s="95"/>
      <c r="O105" s="77"/>
      <c r="P105" s="30"/>
      <c r="Q105" s="30"/>
      <c r="R105" s="30"/>
      <c r="S105" s="31"/>
      <c r="T105" s="30"/>
      <c r="U105" s="30"/>
      <c r="V105" s="30"/>
      <c r="W105" s="30"/>
      <c r="X105" s="30"/>
      <c r="Y105" s="30"/>
      <c r="Z105" s="30"/>
      <c r="AA105" s="30"/>
    </row>
    <row r="106" spans="1:27" x14ac:dyDescent="0.25">
      <c r="A106" s="75"/>
      <c r="B106" s="30"/>
      <c r="C106" s="12"/>
      <c r="D106" s="12"/>
      <c r="E106" s="30"/>
      <c r="F106" s="88"/>
      <c r="G106" s="88"/>
      <c r="H106" s="30"/>
      <c r="I106" s="74"/>
      <c r="J106" s="84"/>
      <c r="K106" s="93">
        <v>208</v>
      </c>
      <c r="L106" s="93" t="s">
        <v>3659</v>
      </c>
      <c r="M106" s="94" t="s">
        <v>3660</v>
      </c>
      <c r="N106" s="95" t="s">
        <v>3661</v>
      </c>
      <c r="O106" s="77"/>
      <c r="P106" s="30"/>
      <c r="Q106" s="30"/>
      <c r="R106" s="30"/>
      <c r="S106" s="31"/>
      <c r="T106" s="30"/>
      <c r="U106" s="30"/>
      <c r="V106" s="30"/>
      <c r="W106" s="30"/>
      <c r="X106" s="30"/>
      <c r="Y106" s="30"/>
      <c r="Z106" s="30"/>
      <c r="AA106" s="30"/>
    </row>
    <row r="107" spans="1:27" x14ac:dyDescent="0.25">
      <c r="A107" s="75"/>
      <c r="B107" s="30"/>
      <c r="C107" s="12"/>
      <c r="D107" s="12"/>
      <c r="E107" s="30"/>
      <c r="F107" s="88"/>
      <c r="G107" s="88"/>
      <c r="H107" s="30"/>
      <c r="I107" s="74"/>
      <c r="J107" s="84"/>
      <c r="K107" s="93">
        <v>207</v>
      </c>
      <c r="L107" s="93" t="s">
        <v>3662</v>
      </c>
      <c r="M107" s="94" t="s">
        <v>3663</v>
      </c>
      <c r="N107" s="95" t="s">
        <v>3664</v>
      </c>
      <c r="O107" s="77"/>
      <c r="P107" s="30"/>
      <c r="Q107" s="30"/>
      <c r="R107" s="30"/>
      <c r="S107" s="31"/>
      <c r="T107" s="30"/>
      <c r="U107" s="30"/>
      <c r="V107" s="30"/>
      <c r="W107" s="30"/>
      <c r="X107" s="30"/>
      <c r="Y107" s="30"/>
      <c r="Z107" s="30"/>
      <c r="AA107" s="30"/>
    </row>
    <row r="108" spans="1:27" x14ac:dyDescent="0.25">
      <c r="A108" s="75"/>
      <c r="B108" s="30"/>
      <c r="C108" s="12"/>
      <c r="D108" s="12"/>
      <c r="E108" s="30"/>
      <c r="F108" s="88"/>
      <c r="G108" s="88"/>
      <c r="H108" s="30"/>
      <c r="I108" s="74"/>
      <c r="J108" s="84"/>
      <c r="K108" s="93">
        <v>206</v>
      </c>
      <c r="L108" s="93" t="s">
        <v>3665</v>
      </c>
      <c r="M108" s="94" t="s">
        <v>3666</v>
      </c>
      <c r="N108" s="95"/>
      <c r="O108" s="77"/>
      <c r="P108" s="30"/>
      <c r="Q108" s="30"/>
      <c r="R108" s="30"/>
      <c r="S108" s="31"/>
      <c r="T108" s="30"/>
      <c r="U108" s="30"/>
      <c r="V108" s="30"/>
      <c r="W108" s="30"/>
      <c r="X108" s="30"/>
      <c r="Y108" s="30"/>
      <c r="Z108" s="30"/>
      <c r="AA108" s="30"/>
    </row>
    <row r="109" spans="1:27" x14ac:dyDescent="0.25">
      <c r="A109" s="75"/>
      <c r="B109" s="30"/>
      <c r="C109" s="12"/>
      <c r="D109" s="12"/>
      <c r="E109" s="30"/>
      <c r="F109" s="88"/>
      <c r="G109" s="88"/>
      <c r="H109" s="30"/>
      <c r="I109" s="74"/>
      <c r="J109" s="84"/>
      <c r="K109" s="93">
        <v>205</v>
      </c>
      <c r="L109" s="93" t="s">
        <v>3667</v>
      </c>
      <c r="M109" s="94" t="s">
        <v>3668</v>
      </c>
      <c r="N109" s="95" t="s">
        <v>3585</v>
      </c>
      <c r="O109" s="77"/>
      <c r="P109" s="30"/>
      <c r="Q109" s="30"/>
      <c r="R109" s="30"/>
      <c r="S109" s="31"/>
      <c r="T109" s="30"/>
      <c r="U109" s="30"/>
      <c r="V109" s="30"/>
      <c r="W109" s="30"/>
      <c r="X109" s="30"/>
      <c r="Y109" s="30"/>
      <c r="Z109" s="30"/>
      <c r="AA109" s="30"/>
    </row>
    <row r="110" spans="1:27" x14ac:dyDescent="0.25">
      <c r="A110" s="75"/>
      <c r="B110" s="30"/>
      <c r="C110" s="12"/>
      <c r="D110" s="12"/>
      <c r="E110" s="30"/>
      <c r="F110" s="88"/>
      <c r="G110" s="88"/>
      <c r="H110" s="30"/>
      <c r="I110" s="74"/>
      <c r="J110" s="84"/>
      <c r="K110" s="93">
        <v>204</v>
      </c>
      <c r="L110" s="93" t="s">
        <v>3669</v>
      </c>
      <c r="M110" s="94" t="s">
        <v>3670</v>
      </c>
      <c r="N110" s="95" t="s">
        <v>3671</v>
      </c>
      <c r="O110" s="77"/>
      <c r="P110" s="30"/>
      <c r="Q110" s="30"/>
      <c r="R110" s="30"/>
      <c r="S110" s="31"/>
      <c r="T110" s="30"/>
      <c r="U110" s="30"/>
      <c r="V110" s="30"/>
      <c r="W110" s="30"/>
      <c r="X110" s="30"/>
      <c r="Y110" s="30"/>
      <c r="Z110" s="30"/>
      <c r="AA110" s="30"/>
    </row>
    <row r="111" spans="1:27" x14ac:dyDescent="0.25">
      <c r="A111" s="75"/>
      <c r="B111" s="30"/>
      <c r="C111" s="12"/>
      <c r="D111" s="12"/>
      <c r="E111" s="30"/>
      <c r="F111" s="88"/>
      <c r="G111" s="88"/>
      <c r="H111" s="30"/>
      <c r="I111" s="74"/>
      <c r="J111" s="84"/>
      <c r="K111" s="93">
        <v>203</v>
      </c>
      <c r="L111" s="93" t="s">
        <v>3672</v>
      </c>
      <c r="M111" s="94" t="s">
        <v>3673</v>
      </c>
      <c r="N111" s="95"/>
      <c r="O111" s="77"/>
      <c r="P111" s="30"/>
      <c r="Q111" s="30"/>
      <c r="R111" s="30"/>
      <c r="S111" s="31"/>
      <c r="T111" s="30"/>
      <c r="U111" s="30"/>
      <c r="V111" s="30"/>
      <c r="W111" s="30"/>
      <c r="X111" s="30"/>
      <c r="Y111" s="30"/>
      <c r="Z111" s="30"/>
      <c r="AA111" s="30"/>
    </row>
    <row r="112" spans="1:27" x14ac:dyDescent="0.25">
      <c r="A112" s="75"/>
      <c r="B112" s="30"/>
      <c r="C112" s="12"/>
      <c r="D112" s="12"/>
      <c r="E112" s="30"/>
      <c r="F112" s="88"/>
      <c r="G112" s="88"/>
      <c r="H112" s="30"/>
      <c r="I112" s="74"/>
      <c r="J112" s="84"/>
      <c r="K112" s="93">
        <v>272</v>
      </c>
      <c r="L112" s="93" t="s">
        <v>3674</v>
      </c>
      <c r="M112" s="94" t="s">
        <v>3675</v>
      </c>
      <c r="N112" s="95" t="s">
        <v>3585</v>
      </c>
      <c r="O112" s="77"/>
      <c r="P112" s="30"/>
      <c r="Q112" s="30"/>
      <c r="R112" s="30"/>
      <c r="S112" s="31"/>
      <c r="T112" s="30"/>
      <c r="U112" s="30"/>
      <c r="V112" s="30"/>
      <c r="W112" s="30"/>
      <c r="X112" s="30"/>
      <c r="Y112" s="30"/>
      <c r="Z112" s="30"/>
      <c r="AA112" s="30"/>
    </row>
    <row r="113" spans="1:27" x14ac:dyDescent="0.25">
      <c r="A113" s="75"/>
      <c r="B113" s="30"/>
      <c r="C113" s="12"/>
      <c r="D113" s="12"/>
      <c r="E113" s="30"/>
      <c r="F113" s="88"/>
      <c r="G113" s="88"/>
      <c r="H113" s="30"/>
      <c r="I113" s="74"/>
      <c r="J113" s="84"/>
      <c r="K113" s="93">
        <v>270</v>
      </c>
      <c r="L113" s="93" t="s">
        <v>3676</v>
      </c>
      <c r="M113" s="94" t="s">
        <v>3677</v>
      </c>
      <c r="N113" s="95" t="s">
        <v>3604</v>
      </c>
      <c r="O113" s="77"/>
      <c r="P113" s="30"/>
      <c r="Q113" s="30"/>
      <c r="R113" s="30"/>
      <c r="S113" s="31"/>
      <c r="T113" s="30"/>
      <c r="U113" s="30"/>
      <c r="V113" s="30"/>
      <c r="W113" s="30"/>
      <c r="X113" s="30"/>
      <c r="Y113" s="30"/>
      <c r="Z113" s="30"/>
      <c r="AA113" s="30"/>
    </row>
    <row r="114" spans="1:27" x14ac:dyDescent="0.25">
      <c r="A114" s="75"/>
      <c r="B114" s="30"/>
      <c r="C114" s="12"/>
      <c r="D114" s="12"/>
      <c r="E114" s="30"/>
      <c r="F114" s="88"/>
      <c r="G114" s="88"/>
      <c r="H114" s="30"/>
      <c r="I114" s="74"/>
      <c r="J114" s="84"/>
      <c r="K114" s="93">
        <v>265</v>
      </c>
      <c r="L114" s="93" t="s">
        <v>3678</v>
      </c>
      <c r="M114" s="94" t="s">
        <v>3679</v>
      </c>
      <c r="N114" s="95" t="s">
        <v>3590</v>
      </c>
      <c r="O114" s="77"/>
      <c r="P114" s="30"/>
      <c r="Q114" s="30"/>
      <c r="R114" s="30"/>
      <c r="S114" s="31"/>
      <c r="T114" s="30"/>
      <c r="U114" s="30"/>
      <c r="V114" s="30"/>
      <c r="W114" s="30"/>
      <c r="X114" s="30"/>
      <c r="Y114" s="30"/>
      <c r="Z114" s="30"/>
      <c r="AA114" s="30"/>
    </row>
    <row r="115" spans="1:27" x14ac:dyDescent="0.25">
      <c r="A115" s="75"/>
      <c r="B115" s="30"/>
      <c r="C115" s="12"/>
      <c r="D115" s="12"/>
      <c r="E115" s="30"/>
      <c r="F115" s="88"/>
      <c r="G115" s="88"/>
      <c r="H115" s="30"/>
      <c r="I115" s="74"/>
      <c r="J115" s="84"/>
      <c r="K115" s="93">
        <v>242</v>
      </c>
      <c r="L115" s="93" t="s">
        <v>3680</v>
      </c>
      <c r="M115" s="94" t="s">
        <v>3681</v>
      </c>
      <c r="N115" s="95" t="s">
        <v>3562</v>
      </c>
      <c r="O115" s="77"/>
      <c r="P115" s="30"/>
      <c r="Q115" s="30"/>
      <c r="R115" s="30"/>
      <c r="S115" s="31"/>
      <c r="T115" s="30"/>
      <c r="U115" s="30"/>
      <c r="V115" s="30"/>
      <c r="W115" s="30"/>
      <c r="X115" s="30"/>
      <c r="Y115" s="30"/>
      <c r="Z115" s="30"/>
      <c r="AA115" s="30"/>
    </row>
    <row r="116" spans="1:27" x14ac:dyDescent="0.25">
      <c r="A116" s="75"/>
      <c r="B116" s="30"/>
      <c r="C116" s="12"/>
      <c r="D116" s="12"/>
      <c r="E116" s="30"/>
      <c r="F116" s="88"/>
      <c r="G116" s="88"/>
      <c r="H116" s="30"/>
      <c r="I116" s="74"/>
      <c r="J116" s="84"/>
      <c r="K116" s="93">
        <v>240</v>
      </c>
      <c r="L116" s="93" t="s">
        <v>3682</v>
      </c>
      <c r="M116" s="94" t="s">
        <v>3683</v>
      </c>
      <c r="N116" s="95" t="s">
        <v>3562</v>
      </c>
      <c r="O116" s="77"/>
      <c r="P116" s="30"/>
      <c r="Q116" s="30"/>
      <c r="R116" s="30"/>
      <c r="S116" s="31"/>
      <c r="T116" s="30"/>
      <c r="U116" s="30"/>
      <c r="V116" s="30"/>
      <c r="W116" s="30"/>
      <c r="X116" s="30"/>
      <c r="Y116" s="30"/>
      <c r="Z116" s="30"/>
      <c r="AA116" s="30"/>
    </row>
    <row r="117" spans="1:27" x14ac:dyDescent="0.25">
      <c r="A117" s="75"/>
      <c r="B117" s="30"/>
      <c r="C117" s="12"/>
      <c r="D117" s="12"/>
      <c r="E117" s="30"/>
      <c r="F117" s="88"/>
      <c r="G117" s="88"/>
      <c r="H117" s="30"/>
      <c r="I117" s="74"/>
      <c r="J117" s="84"/>
      <c r="K117" s="93">
        <v>234</v>
      </c>
      <c r="L117" s="93" t="s">
        <v>3684</v>
      </c>
      <c r="M117" s="94" t="s">
        <v>3685</v>
      </c>
      <c r="N117" s="95" t="s">
        <v>3594</v>
      </c>
      <c r="O117" s="77"/>
      <c r="P117" s="30"/>
      <c r="Q117" s="30"/>
      <c r="R117" s="30"/>
      <c r="S117" s="31"/>
      <c r="T117" s="30"/>
      <c r="U117" s="30"/>
      <c r="V117" s="30"/>
      <c r="W117" s="30"/>
      <c r="X117" s="30"/>
      <c r="Y117" s="30"/>
      <c r="Z117" s="30"/>
      <c r="AA117" s="30"/>
    </row>
    <row r="118" spans="1:27" x14ac:dyDescent="0.25">
      <c r="A118" s="75"/>
      <c r="B118" s="30"/>
      <c r="C118" s="12"/>
      <c r="D118" s="12"/>
      <c r="E118" s="30"/>
      <c r="F118" s="88"/>
      <c r="G118" s="88"/>
      <c r="H118" s="30"/>
      <c r="I118" s="74"/>
      <c r="J118" s="84"/>
      <c r="K118" s="93">
        <v>228</v>
      </c>
      <c r="L118" s="93" t="s">
        <v>3559</v>
      </c>
      <c r="M118" s="94" t="s">
        <v>3686</v>
      </c>
      <c r="N118" s="95"/>
      <c r="O118" s="77"/>
      <c r="P118" s="30"/>
      <c r="Q118" s="30"/>
      <c r="R118" s="30"/>
      <c r="S118" s="31"/>
      <c r="T118" s="30"/>
      <c r="U118" s="30"/>
      <c r="V118" s="30"/>
      <c r="W118" s="30"/>
      <c r="X118" s="30"/>
      <c r="Y118" s="30"/>
      <c r="Z118" s="30"/>
      <c r="AA118" s="30"/>
    </row>
    <row r="119" spans="1:27" x14ac:dyDescent="0.25">
      <c r="A119" s="75"/>
      <c r="B119" s="30"/>
      <c r="C119" s="12"/>
      <c r="D119" s="12"/>
      <c r="E119" s="30"/>
      <c r="F119" s="88"/>
      <c r="G119" s="88"/>
      <c r="H119" s="30"/>
      <c r="I119" s="74"/>
      <c r="J119" s="84"/>
      <c r="K119" s="93">
        <v>202</v>
      </c>
      <c r="L119" s="93" t="s">
        <v>3687</v>
      </c>
      <c r="M119" s="94" t="s">
        <v>3688</v>
      </c>
      <c r="N119" s="95"/>
      <c r="O119" s="77"/>
      <c r="P119" s="30"/>
      <c r="Q119" s="30"/>
      <c r="R119" s="30"/>
      <c r="S119" s="31"/>
      <c r="T119" s="30"/>
      <c r="U119" s="30"/>
      <c r="V119" s="30"/>
      <c r="W119" s="30"/>
      <c r="X119" s="30"/>
      <c r="Y119" s="30"/>
      <c r="Z119" s="30"/>
      <c r="AA119" s="30"/>
    </row>
    <row r="120" spans="1:27" x14ac:dyDescent="0.25">
      <c r="A120" s="75"/>
      <c r="B120" s="30"/>
      <c r="C120" s="12"/>
      <c r="D120" s="12"/>
      <c r="E120" s="30"/>
      <c r="F120" s="88"/>
      <c r="G120" s="88"/>
      <c r="H120" s="30"/>
      <c r="I120" s="74"/>
      <c r="J120" s="84"/>
      <c r="K120" s="93">
        <v>201</v>
      </c>
      <c r="L120" s="93" t="s">
        <v>3689</v>
      </c>
      <c r="M120" s="94" t="s">
        <v>3690</v>
      </c>
      <c r="N120" s="95" t="s">
        <v>3562</v>
      </c>
      <c r="O120" s="77"/>
      <c r="P120" s="30"/>
      <c r="Q120" s="30"/>
      <c r="R120" s="30"/>
      <c r="S120" s="31"/>
      <c r="T120" s="30"/>
      <c r="U120" s="30"/>
      <c r="V120" s="30"/>
      <c r="W120" s="30"/>
      <c r="X120" s="30"/>
      <c r="Y120" s="30"/>
      <c r="Z120" s="30"/>
      <c r="AA120" s="30"/>
    </row>
    <row r="121" spans="1:27" x14ac:dyDescent="0.25">
      <c r="A121" s="75"/>
      <c r="B121" s="30"/>
      <c r="C121" s="12"/>
      <c r="D121" s="12"/>
      <c r="E121" s="30"/>
      <c r="F121" s="88"/>
      <c r="G121" s="88"/>
      <c r="H121" s="30"/>
      <c r="I121" s="74"/>
      <c r="J121" s="84"/>
      <c r="K121" s="93">
        <v>199</v>
      </c>
      <c r="L121" s="93" t="s">
        <v>3691</v>
      </c>
      <c r="M121" s="94" t="s">
        <v>3692</v>
      </c>
      <c r="N121" s="95" t="s">
        <v>3664</v>
      </c>
      <c r="O121" s="77"/>
      <c r="P121" s="30"/>
      <c r="Q121" s="30"/>
      <c r="R121" s="30"/>
      <c r="S121" s="31"/>
      <c r="T121" s="30"/>
      <c r="U121" s="30"/>
      <c r="V121" s="30"/>
      <c r="W121" s="30"/>
      <c r="X121" s="30"/>
      <c r="Y121" s="30"/>
      <c r="Z121" s="30"/>
      <c r="AA121" s="30"/>
    </row>
    <row r="122" spans="1:27" x14ac:dyDescent="0.25">
      <c r="A122" s="75"/>
      <c r="B122" s="30"/>
      <c r="C122" s="12"/>
      <c r="D122" s="12"/>
      <c r="E122" s="30"/>
      <c r="F122" s="88"/>
      <c r="G122" s="88"/>
      <c r="H122" s="30"/>
      <c r="I122" s="74"/>
      <c r="J122" s="84"/>
      <c r="K122" s="93">
        <v>198</v>
      </c>
      <c r="L122" s="93" t="s">
        <v>3693</v>
      </c>
      <c r="M122" s="94" t="s">
        <v>3694</v>
      </c>
      <c r="N122" s="95" t="s">
        <v>3569</v>
      </c>
      <c r="O122" s="77"/>
      <c r="P122" s="30"/>
      <c r="Q122" s="30"/>
      <c r="R122" s="30"/>
      <c r="S122" s="31"/>
      <c r="T122" s="30"/>
      <c r="U122" s="30"/>
      <c r="V122" s="30"/>
      <c r="W122" s="30"/>
      <c r="X122" s="30"/>
      <c r="Y122" s="30"/>
      <c r="Z122" s="30"/>
      <c r="AA122" s="30"/>
    </row>
    <row r="123" spans="1:27" x14ac:dyDescent="0.25">
      <c r="A123" s="75"/>
      <c r="B123" s="30"/>
      <c r="C123" s="12"/>
      <c r="D123" s="12"/>
      <c r="E123" s="30"/>
      <c r="F123" s="88"/>
      <c r="G123" s="88"/>
      <c r="H123" s="30"/>
      <c r="I123" s="74"/>
      <c r="J123" s="84"/>
      <c r="K123" s="93">
        <v>197</v>
      </c>
      <c r="L123" s="93" t="s">
        <v>3695</v>
      </c>
      <c r="M123" s="94" t="s">
        <v>3696</v>
      </c>
      <c r="N123" s="95" t="s">
        <v>3555</v>
      </c>
      <c r="O123" s="77"/>
      <c r="P123" s="30"/>
      <c r="Q123" s="30"/>
      <c r="R123" s="30"/>
      <c r="S123" s="31"/>
      <c r="T123" s="30"/>
      <c r="U123" s="30"/>
      <c r="V123" s="30"/>
      <c r="W123" s="30"/>
      <c r="X123" s="30"/>
      <c r="Y123" s="30"/>
      <c r="Z123" s="30"/>
      <c r="AA123" s="30"/>
    </row>
    <row r="124" spans="1:27" x14ac:dyDescent="0.25">
      <c r="A124" s="75"/>
      <c r="B124" s="30"/>
      <c r="C124" s="12"/>
      <c r="D124" s="12"/>
      <c r="E124" s="30"/>
      <c r="F124" s="88"/>
      <c r="G124" s="88"/>
      <c r="H124" s="30"/>
      <c r="I124" s="74"/>
      <c r="J124" s="84"/>
      <c r="K124" s="93">
        <v>196</v>
      </c>
      <c r="L124" s="93" t="s">
        <v>3697</v>
      </c>
      <c r="M124" s="94" t="s">
        <v>3698</v>
      </c>
      <c r="N124" s="95" t="s">
        <v>3604</v>
      </c>
      <c r="O124" s="77"/>
      <c r="P124" s="30"/>
      <c r="Q124" s="30"/>
      <c r="R124" s="30"/>
      <c r="S124" s="31"/>
      <c r="T124" s="30"/>
      <c r="U124" s="30"/>
      <c r="V124" s="30"/>
      <c r="W124" s="30"/>
      <c r="X124" s="30"/>
      <c r="Y124" s="30"/>
      <c r="Z124" s="30"/>
      <c r="AA124" s="30"/>
    </row>
    <row r="125" spans="1:27" x14ac:dyDescent="0.25">
      <c r="A125" s="75"/>
      <c r="B125" s="30"/>
      <c r="C125" s="12"/>
      <c r="D125" s="12"/>
      <c r="E125" s="30"/>
      <c r="F125" s="88"/>
      <c r="G125" s="88"/>
      <c r="H125" s="30"/>
      <c r="I125" s="74"/>
      <c r="J125" s="84"/>
      <c r="K125" s="93">
        <v>195</v>
      </c>
      <c r="L125" s="93" t="s">
        <v>3699</v>
      </c>
      <c r="M125" s="94" t="s">
        <v>3700</v>
      </c>
      <c r="N125" s="95" t="s">
        <v>3550</v>
      </c>
      <c r="O125" s="77"/>
      <c r="P125" s="30"/>
      <c r="Q125" s="30"/>
      <c r="R125" s="30"/>
      <c r="S125" s="31"/>
      <c r="T125" s="30"/>
      <c r="U125" s="30"/>
      <c r="V125" s="30"/>
      <c r="W125" s="30"/>
      <c r="X125" s="30"/>
      <c r="Y125" s="30"/>
      <c r="Z125" s="30"/>
      <c r="AA125" s="30"/>
    </row>
    <row r="126" spans="1:27" x14ac:dyDescent="0.25">
      <c r="A126" s="75"/>
      <c r="B126" s="30"/>
      <c r="C126" s="12"/>
      <c r="D126" s="12"/>
      <c r="E126" s="30"/>
      <c r="F126" s="88"/>
      <c r="G126" s="88"/>
      <c r="H126" s="30"/>
      <c r="I126" s="74"/>
      <c r="J126" s="84"/>
      <c r="K126" s="93">
        <v>194</v>
      </c>
      <c r="L126" s="93" t="s">
        <v>3701</v>
      </c>
      <c r="M126" s="94" t="s">
        <v>3702</v>
      </c>
      <c r="N126" s="95" t="s">
        <v>3588</v>
      </c>
      <c r="O126" s="77"/>
      <c r="P126" s="30"/>
      <c r="Q126" s="30"/>
      <c r="R126" s="30"/>
      <c r="S126" s="31"/>
      <c r="T126" s="30"/>
      <c r="U126" s="30"/>
      <c r="V126" s="30"/>
      <c r="W126" s="30"/>
      <c r="X126" s="30"/>
      <c r="Y126" s="30"/>
      <c r="Z126" s="30"/>
      <c r="AA126" s="30"/>
    </row>
    <row r="127" spans="1:27" x14ac:dyDescent="0.25">
      <c r="A127" s="75"/>
      <c r="B127" s="30"/>
      <c r="C127" s="12"/>
      <c r="D127" s="12"/>
      <c r="E127" s="30"/>
      <c r="F127" s="88"/>
      <c r="G127" s="88"/>
      <c r="H127" s="30"/>
      <c r="I127" s="74"/>
      <c r="J127" s="84"/>
      <c r="K127" s="93">
        <v>193</v>
      </c>
      <c r="L127" s="93" t="s">
        <v>3703</v>
      </c>
      <c r="M127" s="94" t="s">
        <v>3704</v>
      </c>
      <c r="N127" s="95" t="s">
        <v>3622</v>
      </c>
      <c r="O127" s="77"/>
      <c r="P127" s="30"/>
      <c r="Q127" s="30"/>
      <c r="R127" s="30"/>
      <c r="S127" s="31"/>
      <c r="T127" s="30"/>
      <c r="U127" s="30"/>
      <c r="V127" s="30"/>
      <c r="W127" s="30"/>
      <c r="X127" s="30"/>
      <c r="Y127" s="30"/>
      <c r="Z127" s="30"/>
      <c r="AA127" s="30"/>
    </row>
    <row r="128" spans="1:27" x14ac:dyDescent="0.25">
      <c r="A128" s="75"/>
      <c r="B128" s="30"/>
      <c r="C128" s="12"/>
      <c r="D128" s="12"/>
      <c r="E128" s="30"/>
      <c r="F128" s="88"/>
      <c r="G128" s="88"/>
      <c r="H128" s="30"/>
      <c r="I128" s="74"/>
      <c r="J128" s="84"/>
      <c r="K128" s="93">
        <v>192</v>
      </c>
      <c r="L128" s="93" t="s">
        <v>3705</v>
      </c>
      <c r="M128" s="94" t="s">
        <v>3706</v>
      </c>
      <c r="N128" s="95"/>
      <c r="O128" s="77"/>
      <c r="P128" s="30"/>
      <c r="Q128" s="30"/>
      <c r="R128" s="30"/>
      <c r="S128" s="31"/>
      <c r="T128" s="30"/>
      <c r="U128" s="30"/>
      <c r="V128" s="30"/>
      <c r="W128" s="30"/>
      <c r="X128" s="30"/>
      <c r="Y128" s="30"/>
      <c r="Z128" s="30"/>
      <c r="AA128" s="30"/>
    </row>
    <row r="129" spans="1:27" x14ac:dyDescent="0.25">
      <c r="A129" s="75"/>
      <c r="B129" s="30"/>
      <c r="C129" s="12"/>
      <c r="D129" s="12"/>
      <c r="E129" s="30"/>
      <c r="F129" s="88"/>
      <c r="G129" s="88"/>
      <c r="H129" s="30"/>
      <c r="I129" s="74"/>
      <c r="J129" s="84"/>
      <c r="K129" s="93">
        <v>191</v>
      </c>
      <c r="L129" s="93" t="s">
        <v>3707</v>
      </c>
      <c r="M129" s="94" t="s">
        <v>3708</v>
      </c>
      <c r="N129" s="95" t="s">
        <v>693</v>
      </c>
      <c r="O129" s="77"/>
      <c r="P129" s="30"/>
      <c r="Q129" s="30"/>
      <c r="R129" s="30"/>
      <c r="S129" s="31"/>
      <c r="T129" s="30"/>
      <c r="U129" s="30"/>
      <c r="V129" s="30"/>
      <c r="W129" s="30"/>
      <c r="X129" s="30"/>
      <c r="Y129" s="30"/>
      <c r="Z129" s="30"/>
      <c r="AA129" s="30"/>
    </row>
    <row r="130" spans="1:27" x14ac:dyDescent="0.25">
      <c r="A130" s="75"/>
      <c r="B130" s="30"/>
      <c r="C130" s="12"/>
      <c r="D130" s="12"/>
      <c r="E130" s="30"/>
      <c r="F130" s="88"/>
      <c r="G130" s="88"/>
      <c r="H130" s="30"/>
      <c r="I130" s="74"/>
      <c r="J130" s="84"/>
      <c r="K130" s="93">
        <v>190</v>
      </c>
      <c r="L130" s="93" t="s">
        <v>3646</v>
      </c>
      <c r="M130" s="94" t="s">
        <v>3647</v>
      </c>
      <c r="N130" s="95" t="s">
        <v>3553</v>
      </c>
      <c r="O130" s="77"/>
      <c r="P130" s="30"/>
      <c r="Q130" s="30"/>
      <c r="R130" s="30"/>
      <c r="S130" s="31"/>
      <c r="T130" s="30"/>
      <c r="U130" s="30"/>
      <c r="V130" s="30"/>
      <c r="W130" s="30"/>
      <c r="X130" s="30"/>
      <c r="Y130" s="30"/>
      <c r="Z130" s="30"/>
      <c r="AA130" s="30"/>
    </row>
    <row r="131" spans="1:27" x14ac:dyDescent="0.25">
      <c r="A131" s="75"/>
      <c r="B131" s="30"/>
      <c r="C131" s="12"/>
      <c r="D131" s="12"/>
      <c r="E131" s="30"/>
      <c r="F131" s="88"/>
      <c r="G131" s="88"/>
      <c r="H131" s="30"/>
      <c r="I131" s="74"/>
      <c r="J131" s="84"/>
      <c r="K131" s="93">
        <v>189</v>
      </c>
      <c r="L131" s="93" t="s">
        <v>3709</v>
      </c>
      <c r="M131" s="94" t="s">
        <v>3710</v>
      </c>
      <c r="N131" s="95" t="s">
        <v>3569</v>
      </c>
      <c r="O131" s="77"/>
      <c r="P131" s="30"/>
      <c r="Q131" s="30"/>
      <c r="R131" s="30"/>
      <c r="S131" s="31"/>
      <c r="T131" s="30"/>
      <c r="U131" s="30"/>
      <c r="V131" s="30"/>
      <c r="W131" s="30"/>
      <c r="X131" s="30"/>
      <c r="Y131" s="30"/>
      <c r="Z131" s="30"/>
      <c r="AA131" s="30"/>
    </row>
    <row r="132" spans="1:27" x14ac:dyDescent="0.25">
      <c r="A132" s="75"/>
      <c r="B132" s="30"/>
      <c r="C132" s="12"/>
      <c r="D132" s="12"/>
      <c r="E132" s="30"/>
      <c r="F132" s="88"/>
      <c r="G132" s="88"/>
      <c r="H132" s="30"/>
      <c r="I132" s="74"/>
      <c r="J132" s="84"/>
      <c r="K132" s="93">
        <v>188</v>
      </c>
      <c r="L132" s="93" t="s">
        <v>3711</v>
      </c>
      <c r="M132" s="94" t="s">
        <v>3712</v>
      </c>
      <c r="N132" s="95" t="s">
        <v>3590</v>
      </c>
      <c r="O132" s="77"/>
      <c r="P132" s="30"/>
      <c r="Q132" s="30"/>
      <c r="R132" s="30"/>
      <c r="S132" s="31"/>
      <c r="T132" s="30"/>
      <c r="U132" s="30"/>
      <c r="V132" s="30"/>
      <c r="W132" s="30"/>
      <c r="X132" s="30"/>
      <c r="Y132" s="30"/>
      <c r="Z132" s="30"/>
      <c r="AA132" s="30"/>
    </row>
    <row r="133" spans="1:27" x14ac:dyDescent="0.25">
      <c r="A133" s="75"/>
      <c r="B133" s="30"/>
      <c r="C133" s="12"/>
      <c r="D133" s="12"/>
      <c r="E133" s="30"/>
      <c r="F133" s="88"/>
      <c r="G133" s="88"/>
      <c r="H133" s="30"/>
      <c r="I133" s="74"/>
      <c r="J133" s="84"/>
      <c r="K133" s="93">
        <v>187</v>
      </c>
      <c r="L133" s="93" t="s">
        <v>3713</v>
      </c>
      <c r="M133" s="94" t="s">
        <v>3714</v>
      </c>
      <c r="N133" s="95" t="s">
        <v>3553</v>
      </c>
      <c r="O133" s="77"/>
      <c r="P133" s="30"/>
      <c r="Q133" s="30"/>
      <c r="R133" s="30"/>
      <c r="S133" s="31"/>
      <c r="T133" s="30"/>
      <c r="U133" s="30"/>
      <c r="V133" s="30"/>
      <c r="W133" s="30"/>
      <c r="X133" s="30"/>
      <c r="Y133" s="30"/>
      <c r="Z133" s="30"/>
      <c r="AA133" s="30"/>
    </row>
    <row r="134" spans="1:27" x14ac:dyDescent="0.25">
      <c r="A134" s="75"/>
      <c r="B134" s="30"/>
      <c r="C134" s="12"/>
      <c r="D134" s="12"/>
      <c r="E134" s="30"/>
      <c r="F134" s="88"/>
      <c r="G134" s="88"/>
      <c r="H134" s="30"/>
      <c r="I134" s="74"/>
      <c r="J134" s="84"/>
      <c r="K134" s="93">
        <v>186</v>
      </c>
      <c r="L134" s="93" t="s">
        <v>3715</v>
      </c>
      <c r="M134" s="94" t="s">
        <v>3716</v>
      </c>
      <c r="N134" s="95" t="s">
        <v>3553</v>
      </c>
      <c r="O134" s="77"/>
      <c r="P134" s="30"/>
      <c r="Q134" s="30"/>
      <c r="R134" s="30"/>
      <c r="S134" s="31"/>
      <c r="T134" s="30"/>
      <c r="U134" s="30"/>
      <c r="V134" s="30"/>
      <c r="W134" s="30"/>
      <c r="X134" s="30"/>
      <c r="Y134" s="30"/>
      <c r="Z134" s="30"/>
      <c r="AA134" s="30"/>
    </row>
    <row r="135" spans="1:27" x14ac:dyDescent="0.25">
      <c r="A135" s="75"/>
      <c r="B135" s="30"/>
      <c r="C135" s="12"/>
      <c r="D135" s="12"/>
      <c r="E135" s="30"/>
      <c r="F135" s="88"/>
      <c r="G135" s="88"/>
      <c r="H135" s="30"/>
      <c r="I135" s="74"/>
      <c r="J135" s="84"/>
      <c r="K135" s="93">
        <v>185</v>
      </c>
      <c r="L135" s="93" t="s">
        <v>3717</v>
      </c>
      <c r="M135" s="94" t="s">
        <v>3718</v>
      </c>
      <c r="N135" s="95"/>
      <c r="O135" s="77"/>
      <c r="P135" s="30"/>
      <c r="Q135" s="30"/>
      <c r="R135" s="30"/>
      <c r="S135" s="31"/>
      <c r="T135" s="30"/>
      <c r="U135" s="30"/>
      <c r="V135" s="30"/>
      <c r="W135" s="30"/>
      <c r="X135" s="30"/>
      <c r="Y135" s="30"/>
      <c r="Z135" s="30"/>
      <c r="AA135" s="30"/>
    </row>
    <row r="136" spans="1:27" x14ac:dyDescent="0.25">
      <c r="A136" s="75"/>
      <c r="B136" s="30"/>
      <c r="C136" s="12"/>
      <c r="D136" s="12"/>
      <c r="E136" s="30"/>
      <c r="F136" s="88"/>
      <c r="G136" s="88"/>
      <c r="H136" s="30"/>
      <c r="I136" s="74"/>
      <c r="J136" s="84"/>
      <c r="K136" s="93">
        <v>184</v>
      </c>
      <c r="L136" s="93" t="s">
        <v>3719</v>
      </c>
      <c r="M136" s="94" t="s">
        <v>3720</v>
      </c>
      <c r="N136" s="95" t="s">
        <v>3661</v>
      </c>
      <c r="O136" s="77"/>
      <c r="P136" s="30"/>
      <c r="Q136" s="30"/>
      <c r="R136" s="30"/>
      <c r="S136" s="31"/>
      <c r="T136" s="30"/>
      <c r="U136" s="30"/>
      <c r="V136" s="30"/>
      <c r="W136" s="30"/>
      <c r="X136" s="30"/>
      <c r="Y136" s="30"/>
      <c r="Z136" s="30"/>
      <c r="AA136" s="30"/>
    </row>
    <row r="137" spans="1:27" x14ac:dyDescent="0.25">
      <c r="A137" s="75"/>
      <c r="B137" s="30"/>
      <c r="C137" s="12"/>
      <c r="D137" s="12"/>
      <c r="E137" s="30"/>
      <c r="F137" s="88"/>
      <c r="G137" s="88"/>
      <c r="H137" s="30"/>
      <c r="I137" s="74"/>
      <c r="J137" s="84"/>
      <c r="K137" s="93">
        <v>183.2</v>
      </c>
      <c r="L137" s="93" t="s">
        <v>3721</v>
      </c>
      <c r="M137" s="94" t="s">
        <v>3722</v>
      </c>
      <c r="N137" s="95" t="s">
        <v>3609</v>
      </c>
      <c r="O137" s="77"/>
      <c r="P137" s="30"/>
      <c r="Q137" s="30"/>
      <c r="R137" s="30"/>
      <c r="S137" s="31"/>
      <c r="T137" s="30"/>
      <c r="U137" s="30"/>
      <c r="V137" s="30"/>
      <c r="W137" s="30"/>
      <c r="X137" s="30"/>
      <c r="Y137" s="30"/>
      <c r="Z137" s="30"/>
      <c r="AA137" s="30"/>
    </row>
    <row r="138" spans="1:27" x14ac:dyDescent="0.25">
      <c r="A138" s="75"/>
      <c r="B138" s="30"/>
      <c r="C138" s="12"/>
      <c r="D138" s="12"/>
      <c r="E138" s="30"/>
      <c r="F138" s="88"/>
      <c r="G138" s="88"/>
      <c r="H138" s="30"/>
      <c r="I138" s="74"/>
      <c r="J138" s="84"/>
      <c r="K138" s="93">
        <v>183</v>
      </c>
      <c r="L138" s="93" t="s">
        <v>3723</v>
      </c>
      <c r="M138" s="94" t="s">
        <v>3724</v>
      </c>
      <c r="N138" s="95" t="s">
        <v>3609</v>
      </c>
      <c r="O138" s="77"/>
      <c r="P138" s="30"/>
      <c r="Q138" s="30"/>
      <c r="R138" s="30"/>
      <c r="S138" s="31"/>
      <c r="T138" s="30"/>
      <c r="U138" s="30"/>
      <c r="V138" s="30"/>
      <c r="W138" s="30"/>
      <c r="X138" s="30"/>
      <c r="Y138" s="30"/>
      <c r="Z138" s="30"/>
      <c r="AA138" s="30"/>
    </row>
    <row r="139" spans="1:27" x14ac:dyDescent="0.25">
      <c r="A139" s="75"/>
      <c r="B139" s="30"/>
      <c r="C139" s="12"/>
      <c r="D139" s="12"/>
      <c r="E139" s="30"/>
      <c r="F139" s="88"/>
      <c r="G139" s="88"/>
      <c r="H139" s="30"/>
      <c r="I139" s="74"/>
      <c r="J139" s="84"/>
      <c r="K139" s="93">
        <v>182</v>
      </c>
      <c r="L139" s="93" t="s">
        <v>3725</v>
      </c>
      <c r="M139" s="94" t="s">
        <v>3726</v>
      </c>
      <c r="N139" s="95" t="s">
        <v>3671</v>
      </c>
      <c r="O139" s="77"/>
      <c r="P139" s="30"/>
      <c r="Q139" s="30"/>
      <c r="R139" s="30"/>
      <c r="S139" s="31"/>
      <c r="T139" s="30"/>
      <c r="U139" s="30"/>
      <c r="V139" s="30"/>
      <c r="W139" s="30"/>
      <c r="X139" s="30"/>
      <c r="Y139" s="30"/>
      <c r="Z139" s="30"/>
      <c r="AA139" s="30"/>
    </row>
    <row r="140" spans="1:27" x14ac:dyDescent="0.25">
      <c r="A140" s="75"/>
      <c r="B140" s="30"/>
      <c r="C140" s="12"/>
      <c r="D140" s="12"/>
      <c r="E140" s="30"/>
      <c r="F140" s="88"/>
      <c r="G140" s="88"/>
      <c r="H140" s="30"/>
      <c r="I140" s="74"/>
      <c r="J140" s="84"/>
      <c r="K140" s="93">
        <v>181.1</v>
      </c>
      <c r="L140" s="93" t="s">
        <v>3727</v>
      </c>
      <c r="M140" s="94" t="s">
        <v>3728</v>
      </c>
      <c r="N140" s="95" t="s">
        <v>3729</v>
      </c>
      <c r="O140" s="77"/>
      <c r="P140" s="30"/>
      <c r="Q140" s="30"/>
      <c r="R140" s="30"/>
      <c r="T140" s="30"/>
      <c r="U140" s="30"/>
      <c r="V140" s="30"/>
      <c r="W140" s="30"/>
      <c r="X140" s="30"/>
      <c r="Y140" s="30"/>
      <c r="Z140" s="30"/>
      <c r="AA140" s="30"/>
    </row>
    <row r="141" spans="1:27" x14ac:dyDescent="0.25">
      <c r="A141" s="75"/>
      <c r="B141" s="30"/>
      <c r="C141" s="12"/>
      <c r="D141" s="12"/>
      <c r="E141" s="30"/>
      <c r="F141" s="88"/>
      <c r="G141" s="88"/>
      <c r="H141" s="30"/>
      <c r="I141" s="74"/>
      <c r="J141" s="84"/>
      <c r="K141" s="93">
        <v>181</v>
      </c>
      <c r="L141" s="93" t="s">
        <v>3730</v>
      </c>
      <c r="M141" s="94" t="s">
        <v>3731</v>
      </c>
      <c r="N141" s="95" t="s">
        <v>3562</v>
      </c>
      <c r="O141" s="77"/>
      <c r="P141" s="30"/>
      <c r="Q141" s="30"/>
      <c r="R141" s="30"/>
      <c r="T141" s="30"/>
      <c r="U141" s="30"/>
      <c r="V141" s="30"/>
      <c r="W141" s="30"/>
      <c r="X141" s="30"/>
      <c r="Y141" s="30"/>
      <c r="Z141" s="30"/>
      <c r="AA141" s="30"/>
    </row>
    <row r="142" spans="1:27" x14ac:dyDescent="0.25">
      <c r="A142" s="75"/>
      <c r="B142" s="30"/>
      <c r="C142" s="12"/>
      <c r="D142" s="12"/>
      <c r="E142" s="30"/>
      <c r="F142" s="88"/>
      <c r="G142" s="88"/>
      <c r="H142" s="30"/>
      <c r="I142" s="74"/>
      <c r="J142" s="84"/>
      <c r="K142" s="93">
        <v>180.4</v>
      </c>
      <c r="L142" s="93" t="s">
        <v>3732</v>
      </c>
      <c r="M142" s="94" t="s">
        <v>3733</v>
      </c>
      <c r="N142" s="95" t="s">
        <v>3734</v>
      </c>
      <c r="O142" s="77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x14ac:dyDescent="0.25">
      <c r="A143" s="75"/>
      <c r="B143" s="30"/>
      <c r="C143" s="12"/>
      <c r="D143" s="12"/>
      <c r="E143" s="30"/>
      <c r="F143" s="88"/>
      <c r="G143" s="88"/>
      <c r="H143" s="30"/>
      <c r="I143" s="74"/>
      <c r="J143" s="84"/>
      <c r="K143" s="93">
        <v>180.3</v>
      </c>
      <c r="L143" s="93" t="s">
        <v>3735</v>
      </c>
      <c r="M143" s="94" t="s">
        <v>3736</v>
      </c>
      <c r="N143" s="95" t="s">
        <v>3734</v>
      </c>
      <c r="O143" s="77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x14ac:dyDescent="0.25">
      <c r="A144" s="75"/>
      <c r="B144" s="30"/>
      <c r="C144" s="12"/>
      <c r="D144" s="12"/>
      <c r="E144" s="30"/>
      <c r="F144" s="88"/>
      <c r="G144" s="88"/>
      <c r="H144" s="30"/>
      <c r="I144" s="74"/>
      <c r="J144" s="84"/>
      <c r="K144" s="93">
        <v>180.2</v>
      </c>
      <c r="L144" s="93" t="s">
        <v>3737</v>
      </c>
      <c r="M144" s="94" t="s">
        <v>3738</v>
      </c>
      <c r="N144" s="95" t="s">
        <v>3734</v>
      </c>
      <c r="O144" s="77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x14ac:dyDescent="0.25">
      <c r="A145" s="75"/>
      <c r="B145" s="30"/>
      <c r="C145" s="12"/>
      <c r="D145" s="12"/>
      <c r="E145" s="30"/>
      <c r="F145" s="88"/>
      <c r="G145" s="88"/>
      <c r="H145" s="30"/>
      <c r="I145" s="74"/>
      <c r="J145" s="84"/>
      <c r="K145" s="93">
        <v>180</v>
      </c>
      <c r="L145" s="93" t="s">
        <v>3739</v>
      </c>
      <c r="M145" s="94" t="s">
        <v>3740</v>
      </c>
      <c r="N145" s="95" t="s">
        <v>3734</v>
      </c>
      <c r="O145" s="77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x14ac:dyDescent="0.25">
      <c r="A146" s="75"/>
      <c r="B146" s="30"/>
      <c r="C146" s="12"/>
      <c r="D146" s="12"/>
      <c r="E146" s="30"/>
      <c r="F146" s="88"/>
      <c r="G146" s="88"/>
      <c r="H146" s="30"/>
      <c r="I146" s="74"/>
      <c r="J146" s="84"/>
      <c r="K146" s="93">
        <v>179</v>
      </c>
      <c r="L146" s="93" t="s">
        <v>3741</v>
      </c>
      <c r="M146" s="94" t="s">
        <v>3742</v>
      </c>
      <c r="N146" s="95" t="s">
        <v>3656</v>
      </c>
      <c r="O146" s="77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x14ac:dyDescent="0.25">
      <c r="A147" s="75"/>
      <c r="B147" s="30"/>
      <c r="C147" s="12"/>
      <c r="D147" s="12"/>
      <c r="E147" s="30"/>
      <c r="F147" s="88"/>
      <c r="G147" s="88"/>
      <c r="H147" s="30"/>
      <c r="I147" s="74"/>
      <c r="J147" s="84"/>
      <c r="K147" s="93">
        <v>178</v>
      </c>
      <c r="L147" s="93" t="s">
        <v>3743</v>
      </c>
      <c r="M147" s="94" t="s">
        <v>3744</v>
      </c>
      <c r="N147" s="95" t="s">
        <v>3634</v>
      </c>
      <c r="O147" s="77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x14ac:dyDescent="0.25">
      <c r="A148" s="75"/>
      <c r="B148" s="30"/>
      <c r="C148" s="12"/>
      <c r="D148" s="12"/>
      <c r="E148" s="30"/>
      <c r="F148" s="88"/>
      <c r="G148" s="88"/>
      <c r="H148" s="30"/>
      <c r="I148" s="74"/>
      <c r="J148" s="84"/>
      <c r="K148" s="93">
        <v>177</v>
      </c>
      <c r="L148" s="93" t="s">
        <v>3745</v>
      </c>
      <c r="M148" s="94" t="s">
        <v>3746</v>
      </c>
      <c r="N148" s="95" t="s">
        <v>3553</v>
      </c>
      <c r="O148" s="77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x14ac:dyDescent="0.25">
      <c r="A149" s="75"/>
      <c r="B149" s="30"/>
      <c r="C149" s="12"/>
      <c r="D149" s="12"/>
      <c r="E149" s="30"/>
      <c r="F149" s="88"/>
      <c r="G149" s="88"/>
      <c r="H149" s="30"/>
      <c r="I149" s="74"/>
      <c r="J149" s="84"/>
      <c r="K149" s="93">
        <v>176.4</v>
      </c>
      <c r="L149" s="93" t="s">
        <v>3747</v>
      </c>
      <c r="M149" s="94" t="s">
        <v>3748</v>
      </c>
      <c r="N149" s="95" t="s">
        <v>3729</v>
      </c>
      <c r="O149" s="77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x14ac:dyDescent="0.25">
      <c r="A150" s="75"/>
      <c r="B150" s="30"/>
      <c r="C150" s="12"/>
      <c r="D150" s="12"/>
      <c r="E150" s="30"/>
      <c r="F150" s="88"/>
      <c r="G150" s="88"/>
      <c r="H150" s="30"/>
      <c r="I150" s="74"/>
      <c r="J150" s="84"/>
      <c r="K150" s="93">
        <v>176.3</v>
      </c>
      <c r="L150" s="93" t="s">
        <v>3747</v>
      </c>
      <c r="M150" s="94" t="s">
        <v>3749</v>
      </c>
      <c r="N150" s="95" t="s">
        <v>3729</v>
      </c>
      <c r="O150" s="77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x14ac:dyDescent="0.25">
      <c r="A151" s="75"/>
      <c r="B151" s="30"/>
      <c r="C151" s="12"/>
      <c r="D151" s="12"/>
      <c r="E151" s="30"/>
      <c r="F151" s="88"/>
      <c r="G151" s="88"/>
      <c r="H151" s="30"/>
      <c r="I151" s="74"/>
      <c r="J151" s="84"/>
      <c r="K151" s="93">
        <v>176.2</v>
      </c>
      <c r="L151" s="93" t="s">
        <v>3750</v>
      </c>
      <c r="M151" s="94" t="s">
        <v>3751</v>
      </c>
      <c r="N151" s="95" t="s">
        <v>3729</v>
      </c>
      <c r="O151" s="77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x14ac:dyDescent="0.25">
      <c r="A152" s="75"/>
      <c r="B152" s="30"/>
      <c r="C152" s="12"/>
      <c r="D152" s="12"/>
      <c r="E152" s="30"/>
      <c r="F152" s="88"/>
      <c r="G152" s="88"/>
      <c r="H152" s="30"/>
      <c r="I152" s="74"/>
      <c r="J152" s="84"/>
      <c r="K152" s="93">
        <v>176.1</v>
      </c>
      <c r="L152" s="93" t="s">
        <v>3750</v>
      </c>
      <c r="M152" s="94" t="s">
        <v>3752</v>
      </c>
      <c r="N152" s="95" t="s">
        <v>3583</v>
      </c>
      <c r="O152" s="77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x14ac:dyDescent="0.25">
      <c r="A153" s="75"/>
      <c r="B153" s="30"/>
      <c r="C153" s="12"/>
      <c r="D153" s="12"/>
      <c r="E153" s="30"/>
      <c r="F153" s="88"/>
      <c r="G153" s="88"/>
      <c r="H153" s="30"/>
      <c r="I153" s="74"/>
      <c r="J153" s="84"/>
      <c r="K153" s="93">
        <v>175.3</v>
      </c>
      <c r="L153" s="93" t="s">
        <v>3753</v>
      </c>
      <c r="M153" s="94" t="s">
        <v>3754</v>
      </c>
      <c r="N153" s="95" t="s">
        <v>3729</v>
      </c>
      <c r="O153" s="77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x14ac:dyDescent="0.25">
      <c r="A154" s="75"/>
      <c r="B154" s="30"/>
      <c r="C154" s="12"/>
      <c r="D154" s="12"/>
      <c r="E154" s="30"/>
      <c r="F154" s="88"/>
      <c r="G154" s="88"/>
      <c r="H154" s="30"/>
      <c r="I154" s="74"/>
      <c r="J154" s="84"/>
      <c r="K154" s="93">
        <v>175.2</v>
      </c>
      <c r="L154" s="93" t="s">
        <v>3755</v>
      </c>
      <c r="M154" s="94" t="s">
        <v>3756</v>
      </c>
      <c r="N154" s="95" t="s">
        <v>3609</v>
      </c>
      <c r="O154" s="77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x14ac:dyDescent="0.25">
      <c r="A155" s="75"/>
      <c r="B155" s="30"/>
      <c r="C155" s="12"/>
      <c r="D155" s="12"/>
      <c r="E155" s="30"/>
      <c r="F155" s="88"/>
      <c r="G155" s="88"/>
      <c r="H155" s="30"/>
      <c r="I155" s="74"/>
      <c r="J155" s="84"/>
      <c r="K155" s="93">
        <v>175.1</v>
      </c>
      <c r="L155" s="93" t="s">
        <v>3757</v>
      </c>
      <c r="M155" s="94" t="s">
        <v>3758</v>
      </c>
      <c r="N155" s="95" t="s">
        <v>3729</v>
      </c>
      <c r="O155" s="77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x14ac:dyDescent="0.25">
      <c r="A156" s="75"/>
      <c r="B156" s="30"/>
      <c r="C156" s="12"/>
      <c r="D156" s="12"/>
      <c r="E156" s="30"/>
      <c r="F156" s="88"/>
      <c r="G156" s="88"/>
      <c r="H156" s="30"/>
      <c r="I156" s="74"/>
      <c r="J156" s="84"/>
      <c r="K156" s="93">
        <v>174</v>
      </c>
      <c r="L156" s="93" t="s">
        <v>3759</v>
      </c>
      <c r="M156" s="94" t="s">
        <v>3760</v>
      </c>
      <c r="N156" s="95" t="s">
        <v>3634</v>
      </c>
      <c r="O156" s="77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x14ac:dyDescent="0.25">
      <c r="A157" s="75"/>
      <c r="B157" s="30"/>
      <c r="C157" s="12"/>
      <c r="D157" s="12"/>
      <c r="E157" s="30"/>
      <c r="F157" s="88"/>
      <c r="G157" s="88"/>
      <c r="H157" s="30"/>
      <c r="I157" s="74"/>
      <c r="J157" s="84"/>
      <c r="K157" s="93">
        <v>173</v>
      </c>
      <c r="L157" s="93" t="s">
        <v>3761</v>
      </c>
      <c r="M157" s="94" t="s">
        <v>3762</v>
      </c>
      <c r="N157" s="95" t="s">
        <v>3601</v>
      </c>
      <c r="O157" s="77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x14ac:dyDescent="0.25">
      <c r="A158" s="75"/>
      <c r="B158" s="30"/>
      <c r="C158" s="12"/>
      <c r="D158" s="12"/>
      <c r="E158" s="30"/>
      <c r="F158" s="88"/>
      <c r="G158" s="88"/>
      <c r="H158" s="30"/>
      <c r="I158" s="74"/>
      <c r="J158" s="84"/>
      <c r="K158" s="93">
        <v>172</v>
      </c>
      <c r="L158" s="93" t="s">
        <v>3763</v>
      </c>
      <c r="M158" s="94" t="s">
        <v>3764</v>
      </c>
      <c r="N158" s="95" t="s">
        <v>3550</v>
      </c>
      <c r="O158" s="77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x14ac:dyDescent="0.25">
      <c r="A159" s="75"/>
      <c r="B159" s="30"/>
      <c r="C159" s="12"/>
      <c r="D159" s="12"/>
      <c r="E159" s="30"/>
      <c r="F159" s="88"/>
      <c r="G159" s="88"/>
      <c r="H159" s="30"/>
      <c r="I159" s="74"/>
      <c r="J159" s="84"/>
      <c r="K159" s="93">
        <v>171</v>
      </c>
      <c r="L159" s="93" t="s">
        <v>3765</v>
      </c>
      <c r="M159" s="94" t="s">
        <v>3766</v>
      </c>
      <c r="N159" s="95" t="s">
        <v>3664</v>
      </c>
      <c r="O159" s="77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x14ac:dyDescent="0.25">
      <c r="A160" s="75"/>
      <c r="B160" s="30"/>
      <c r="C160" s="12"/>
      <c r="D160" s="12"/>
      <c r="E160" s="30"/>
      <c r="F160" s="88"/>
      <c r="G160" s="88"/>
      <c r="H160" s="30"/>
      <c r="I160" s="74"/>
      <c r="J160" s="84"/>
      <c r="K160" s="93">
        <v>170</v>
      </c>
      <c r="L160" s="93" t="s">
        <v>3767</v>
      </c>
      <c r="M160" s="94" t="s">
        <v>3768</v>
      </c>
      <c r="N160" s="95" t="s">
        <v>3594</v>
      </c>
      <c r="O160" s="77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x14ac:dyDescent="0.25">
      <c r="A161" s="75"/>
      <c r="B161" s="30"/>
      <c r="C161" s="12"/>
      <c r="D161" s="12"/>
      <c r="E161" s="30"/>
      <c r="F161" s="88"/>
      <c r="G161" s="88"/>
      <c r="H161" s="30"/>
      <c r="I161" s="74"/>
      <c r="J161" s="84"/>
      <c r="K161" s="93">
        <v>169</v>
      </c>
      <c r="L161" s="93" t="s">
        <v>3769</v>
      </c>
      <c r="M161" s="94" t="s">
        <v>3770</v>
      </c>
      <c r="N161" s="95" t="s">
        <v>3664</v>
      </c>
      <c r="O161" s="77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x14ac:dyDescent="0.25">
      <c r="A162" s="75"/>
      <c r="B162" s="30"/>
      <c r="C162" s="12"/>
      <c r="D162" s="12"/>
      <c r="E162" s="30"/>
      <c r="F162" s="88"/>
      <c r="G162" s="88"/>
      <c r="H162" s="30"/>
      <c r="I162" s="74"/>
      <c r="J162" s="84"/>
      <c r="K162" s="93">
        <v>168</v>
      </c>
      <c r="L162" s="93" t="s">
        <v>3771</v>
      </c>
      <c r="M162" s="94" t="s">
        <v>3772</v>
      </c>
      <c r="N162" s="95" t="s">
        <v>3773</v>
      </c>
      <c r="O162" s="77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x14ac:dyDescent="0.25">
      <c r="A163" s="75"/>
      <c r="B163" s="30"/>
      <c r="C163" s="12"/>
      <c r="D163" s="12"/>
      <c r="E163" s="30"/>
      <c r="F163" s="88"/>
      <c r="G163" s="88"/>
      <c r="H163" s="30"/>
      <c r="I163" s="74"/>
      <c r="J163" s="84"/>
      <c r="K163" s="93">
        <v>166</v>
      </c>
      <c r="L163" s="93" t="s">
        <v>3774</v>
      </c>
      <c r="M163" s="94" t="s">
        <v>3775</v>
      </c>
      <c r="N163" s="95" t="s">
        <v>3585</v>
      </c>
      <c r="O163" s="77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x14ac:dyDescent="0.25">
      <c r="A164" s="75"/>
      <c r="B164" s="30"/>
      <c r="C164" s="12"/>
      <c r="D164" s="12"/>
      <c r="E164" s="30"/>
      <c r="F164" s="88"/>
      <c r="G164" s="88"/>
      <c r="H164" s="30"/>
      <c r="I164" s="74"/>
      <c r="J164" s="84"/>
      <c r="K164" s="93">
        <v>165</v>
      </c>
      <c r="L164" s="93" t="s">
        <v>3776</v>
      </c>
      <c r="M164" s="94" t="s">
        <v>3777</v>
      </c>
      <c r="N164" s="95" t="s">
        <v>3601</v>
      </c>
      <c r="O164" s="77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x14ac:dyDescent="0.25">
      <c r="A165" s="75"/>
      <c r="B165" s="30"/>
      <c r="C165" s="12"/>
      <c r="D165" s="12"/>
      <c r="E165" s="30"/>
      <c r="F165" s="88"/>
      <c r="G165" s="88"/>
      <c r="H165" s="30"/>
      <c r="I165" s="74"/>
      <c r="J165" s="84"/>
      <c r="K165" s="93">
        <v>164</v>
      </c>
      <c r="L165" s="93" t="s">
        <v>3778</v>
      </c>
      <c r="M165" s="94" t="s">
        <v>3779</v>
      </c>
      <c r="N165" s="95" t="s">
        <v>3601</v>
      </c>
      <c r="O165" s="77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x14ac:dyDescent="0.25">
      <c r="A166" s="75"/>
      <c r="B166" s="30"/>
      <c r="C166" s="12"/>
      <c r="D166" s="12"/>
      <c r="E166" s="30"/>
      <c r="F166" s="88"/>
      <c r="G166" s="88"/>
      <c r="H166" s="30"/>
      <c r="I166" s="74"/>
      <c r="J166" s="84"/>
      <c r="K166" s="93">
        <v>163</v>
      </c>
      <c r="L166" s="93" t="s">
        <v>3780</v>
      </c>
      <c r="M166" s="94" t="s">
        <v>3781</v>
      </c>
      <c r="N166" s="95" t="s">
        <v>3585</v>
      </c>
      <c r="O166" s="77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x14ac:dyDescent="0.25">
      <c r="A167" s="75"/>
      <c r="B167" s="30"/>
      <c r="C167" s="12"/>
      <c r="D167" s="12"/>
      <c r="E167" s="30"/>
      <c r="F167" s="88"/>
      <c r="G167" s="88"/>
      <c r="H167" s="30"/>
      <c r="I167" s="74"/>
      <c r="J167" s="84"/>
      <c r="K167" s="93">
        <v>162</v>
      </c>
      <c r="L167" s="93" t="s">
        <v>3782</v>
      </c>
      <c r="M167" s="94" t="s">
        <v>3783</v>
      </c>
      <c r="N167" s="95" t="s">
        <v>3594</v>
      </c>
      <c r="O167" s="77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x14ac:dyDescent="0.25">
      <c r="A168" s="75"/>
      <c r="B168" s="30"/>
      <c r="C168" s="12"/>
      <c r="D168" s="12"/>
      <c r="E168" s="30"/>
      <c r="F168" s="88"/>
      <c r="G168" s="88"/>
      <c r="H168" s="30"/>
      <c r="I168" s="74"/>
      <c r="J168" s="84"/>
      <c r="K168" s="93">
        <v>161</v>
      </c>
      <c r="L168" s="93" t="s">
        <v>3784</v>
      </c>
      <c r="M168" s="94" t="s">
        <v>3785</v>
      </c>
      <c r="N168" s="95" t="s">
        <v>3656</v>
      </c>
      <c r="O168" s="77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x14ac:dyDescent="0.25">
      <c r="A169" s="75"/>
      <c r="B169" s="30"/>
      <c r="C169" s="12"/>
      <c r="D169" s="12"/>
      <c r="E169" s="30"/>
      <c r="F169" s="88"/>
      <c r="G169" s="88"/>
      <c r="H169" s="30"/>
      <c r="I169" s="74"/>
      <c r="J169" s="84"/>
      <c r="K169" s="93">
        <v>160</v>
      </c>
      <c r="L169" s="93" t="s">
        <v>3786</v>
      </c>
      <c r="M169" s="94" t="s">
        <v>3787</v>
      </c>
      <c r="N169" s="95" t="s">
        <v>3671</v>
      </c>
      <c r="O169" s="77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x14ac:dyDescent="0.25">
      <c r="A170" s="75"/>
      <c r="B170" s="30"/>
      <c r="C170" s="12"/>
      <c r="D170" s="12"/>
      <c r="E170" s="30"/>
      <c r="F170" s="88"/>
      <c r="G170" s="88"/>
      <c r="H170" s="30"/>
      <c r="I170" s="74"/>
      <c r="J170" s="84"/>
      <c r="K170" s="93">
        <v>159</v>
      </c>
      <c r="L170" s="93" t="s">
        <v>3788</v>
      </c>
      <c r="M170" s="94" t="s">
        <v>3789</v>
      </c>
      <c r="N170" s="95" t="s">
        <v>3622</v>
      </c>
      <c r="O170" s="77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x14ac:dyDescent="0.25">
      <c r="A171" s="75"/>
      <c r="B171" s="30"/>
      <c r="C171" s="12"/>
      <c r="D171" s="12"/>
      <c r="E171" s="30"/>
      <c r="F171" s="88"/>
      <c r="G171" s="88"/>
      <c r="H171" s="30"/>
      <c r="I171" s="74"/>
      <c r="J171" s="84"/>
      <c r="K171" s="93">
        <v>158.1</v>
      </c>
      <c r="L171" s="93" t="s">
        <v>3790</v>
      </c>
      <c r="M171" s="94" t="s">
        <v>3791</v>
      </c>
      <c r="N171" s="95" t="s">
        <v>3729</v>
      </c>
      <c r="O171" s="77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x14ac:dyDescent="0.25">
      <c r="A172" s="75"/>
      <c r="B172" s="30"/>
      <c r="C172" s="12"/>
      <c r="D172" s="12"/>
      <c r="E172" s="30"/>
      <c r="F172" s="88"/>
      <c r="G172" s="88"/>
      <c r="H172" s="30"/>
      <c r="I172" s="74"/>
      <c r="J172" s="84"/>
      <c r="K172" s="93">
        <v>158</v>
      </c>
      <c r="L172" s="93" t="s">
        <v>3790</v>
      </c>
      <c r="M172" s="94" t="s">
        <v>3792</v>
      </c>
      <c r="N172" s="95" t="s">
        <v>3562</v>
      </c>
      <c r="O172" s="77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x14ac:dyDescent="0.25">
      <c r="A173" s="75"/>
      <c r="B173" s="30"/>
      <c r="C173" s="12"/>
      <c r="D173" s="12"/>
      <c r="E173" s="30"/>
      <c r="F173" s="88"/>
      <c r="G173" s="88"/>
      <c r="H173" s="30"/>
      <c r="I173" s="74"/>
      <c r="J173" s="84"/>
      <c r="K173" s="93">
        <v>157</v>
      </c>
      <c r="L173" s="93" t="s">
        <v>3793</v>
      </c>
      <c r="M173" s="94" t="s">
        <v>3794</v>
      </c>
      <c r="N173" s="95" t="s">
        <v>3585</v>
      </c>
      <c r="O173" s="77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x14ac:dyDescent="0.25">
      <c r="A174" s="75"/>
      <c r="B174" s="30"/>
      <c r="C174" s="12"/>
      <c r="D174" s="12"/>
      <c r="E174" s="30"/>
      <c r="F174" s="88"/>
      <c r="G174" s="88"/>
      <c r="H174" s="30"/>
      <c r="I174" s="74"/>
      <c r="J174" s="84"/>
      <c r="K174" s="93">
        <v>156.19999999999999</v>
      </c>
      <c r="L174" s="93" t="s">
        <v>3795</v>
      </c>
      <c r="M174" s="94" t="s">
        <v>3796</v>
      </c>
      <c r="N174" s="95" t="s">
        <v>3729</v>
      </c>
      <c r="O174" s="77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x14ac:dyDescent="0.25">
      <c r="A175" s="75"/>
      <c r="B175" s="30"/>
      <c r="C175" s="12"/>
      <c r="D175" s="12"/>
      <c r="E175" s="30"/>
      <c r="F175" s="88"/>
      <c r="G175" s="88"/>
      <c r="H175" s="30"/>
      <c r="I175" s="74"/>
      <c r="J175" s="84"/>
      <c r="K175" s="93">
        <v>156.1</v>
      </c>
      <c r="L175" s="93" t="s">
        <v>3795</v>
      </c>
      <c r="M175" s="94" t="s">
        <v>3797</v>
      </c>
      <c r="N175" s="95" t="s">
        <v>3609</v>
      </c>
      <c r="O175" s="77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x14ac:dyDescent="0.25">
      <c r="A176" s="75"/>
      <c r="B176" s="30"/>
      <c r="C176" s="12"/>
      <c r="D176" s="12"/>
      <c r="E176" s="30"/>
      <c r="F176" s="88"/>
      <c r="G176" s="88"/>
      <c r="H176" s="30"/>
      <c r="I176" s="74"/>
      <c r="J176" s="84"/>
      <c r="K176" s="93">
        <v>155.19999999999999</v>
      </c>
      <c r="L176" s="93" t="s">
        <v>3798</v>
      </c>
      <c r="M176" s="94" t="s">
        <v>3799</v>
      </c>
      <c r="N176" s="95" t="s">
        <v>3729</v>
      </c>
      <c r="O176" s="77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x14ac:dyDescent="0.25">
      <c r="A177" s="75"/>
      <c r="B177" s="30"/>
      <c r="C177" s="12"/>
      <c r="D177" s="12"/>
      <c r="E177" s="30"/>
      <c r="F177" s="88"/>
      <c r="G177" s="88"/>
      <c r="H177" s="30"/>
      <c r="I177" s="74"/>
      <c r="J177" s="84"/>
      <c r="K177" s="93">
        <v>155.1</v>
      </c>
      <c r="L177" s="93" t="s">
        <v>3798</v>
      </c>
      <c r="M177" s="94" t="s">
        <v>3800</v>
      </c>
      <c r="N177" s="95" t="s">
        <v>3583</v>
      </c>
      <c r="O177" s="77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x14ac:dyDescent="0.25">
      <c r="A178" s="75"/>
      <c r="B178" s="30"/>
      <c r="C178" s="12"/>
      <c r="D178" s="12"/>
      <c r="E178" s="30"/>
      <c r="F178" s="88"/>
      <c r="G178" s="88"/>
      <c r="H178" s="30"/>
      <c r="I178" s="74"/>
      <c r="J178" s="84"/>
      <c r="K178" s="93">
        <v>154</v>
      </c>
      <c r="L178" s="93" t="s">
        <v>3801</v>
      </c>
      <c r="M178" s="94" t="s">
        <v>3802</v>
      </c>
      <c r="N178" s="95" t="s">
        <v>3553</v>
      </c>
      <c r="O178" s="77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x14ac:dyDescent="0.25">
      <c r="A179" s="75"/>
      <c r="B179" s="30"/>
      <c r="C179" s="12"/>
      <c r="D179" s="12"/>
      <c r="E179" s="30"/>
      <c r="F179" s="88"/>
      <c r="G179" s="88"/>
      <c r="H179" s="30"/>
      <c r="I179" s="74"/>
      <c r="J179" s="84"/>
      <c r="K179" s="93">
        <v>152</v>
      </c>
      <c r="L179" s="93" t="s">
        <v>3803</v>
      </c>
      <c r="M179" s="94" t="s">
        <v>3804</v>
      </c>
      <c r="N179" s="95" t="s">
        <v>3664</v>
      </c>
      <c r="O179" s="77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x14ac:dyDescent="0.25">
      <c r="A180" s="75"/>
      <c r="B180" s="30"/>
      <c r="C180" s="12"/>
      <c r="D180" s="12"/>
      <c r="E180" s="30"/>
      <c r="F180" s="88"/>
      <c r="G180" s="88"/>
      <c r="H180" s="30"/>
      <c r="I180" s="74"/>
      <c r="J180" s="84"/>
      <c r="K180" s="93">
        <v>150</v>
      </c>
      <c r="L180" s="93" t="s">
        <v>3805</v>
      </c>
      <c r="M180" s="94" t="s">
        <v>3806</v>
      </c>
      <c r="N180" s="95" t="s">
        <v>3594</v>
      </c>
      <c r="O180" s="77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x14ac:dyDescent="0.25">
      <c r="A181" s="75"/>
      <c r="B181" s="30"/>
      <c r="C181" s="12"/>
      <c r="D181" s="12"/>
      <c r="E181" s="30"/>
      <c r="F181" s="88"/>
      <c r="G181" s="88"/>
      <c r="H181" s="30"/>
      <c r="I181" s="74"/>
      <c r="J181" s="84"/>
      <c r="K181" s="93">
        <v>149</v>
      </c>
      <c r="L181" s="93" t="s">
        <v>3807</v>
      </c>
      <c r="M181" s="94" t="s">
        <v>3808</v>
      </c>
      <c r="N181" s="95" t="s">
        <v>3562</v>
      </c>
      <c r="O181" s="77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x14ac:dyDescent="0.25">
      <c r="A182" s="75"/>
      <c r="B182" s="30"/>
      <c r="C182" s="12"/>
      <c r="D182" s="12"/>
      <c r="E182" s="30"/>
      <c r="F182" s="88"/>
      <c r="G182" s="88"/>
      <c r="H182" s="30"/>
      <c r="I182" s="74"/>
      <c r="J182" s="84"/>
      <c r="K182" s="93">
        <v>147</v>
      </c>
      <c r="L182" s="93" t="s">
        <v>3809</v>
      </c>
      <c r="M182" s="94" t="s">
        <v>3810</v>
      </c>
      <c r="N182" s="95" t="s">
        <v>3604</v>
      </c>
      <c r="O182" s="77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x14ac:dyDescent="0.25">
      <c r="A183" s="75"/>
      <c r="B183" s="30"/>
      <c r="C183" s="12"/>
      <c r="D183" s="12"/>
      <c r="E183" s="30"/>
      <c r="F183" s="88"/>
      <c r="G183" s="88"/>
      <c r="H183" s="30"/>
      <c r="I183" s="74"/>
      <c r="J183" s="84"/>
      <c r="K183" s="93">
        <v>146</v>
      </c>
      <c r="L183" s="93" t="s">
        <v>3811</v>
      </c>
      <c r="M183" s="94" t="s">
        <v>3812</v>
      </c>
      <c r="N183" s="95" t="s">
        <v>3590</v>
      </c>
      <c r="O183" s="77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x14ac:dyDescent="0.25">
      <c r="A184" s="75"/>
      <c r="B184" s="30"/>
      <c r="C184" s="12"/>
      <c r="D184" s="12"/>
      <c r="E184" s="30"/>
      <c r="F184" s="88"/>
      <c r="G184" s="88"/>
      <c r="H184" s="30"/>
      <c r="I184" s="74"/>
      <c r="J184" s="84"/>
      <c r="K184" s="93">
        <v>144</v>
      </c>
      <c r="L184" s="93" t="s">
        <v>3813</v>
      </c>
      <c r="M184" s="94" t="s">
        <v>3814</v>
      </c>
      <c r="N184" s="95" t="s">
        <v>3815</v>
      </c>
      <c r="O184" s="77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x14ac:dyDescent="0.25">
      <c r="A185" s="75"/>
      <c r="B185" s="30"/>
      <c r="C185" s="12"/>
      <c r="D185" s="12"/>
      <c r="E185" s="30"/>
      <c r="F185" s="88"/>
      <c r="G185" s="88"/>
      <c r="H185" s="30"/>
      <c r="I185" s="74"/>
      <c r="J185" s="84"/>
      <c r="K185" s="93">
        <v>143</v>
      </c>
      <c r="L185" s="93" t="s">
        <v>3816</v>
      </c>
      <c r="M185" s="94" t="s">
        <v>3817</v>
      </c>
      <c r="N185" s="95" t="s">
        <v>3594</v>
      </c>
      <c r="O185" s="77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x14ac:dyDescent="0.25">
      <c r="A186" s="75"/>
      <c r="B186" s="30"/>
      <c r="C186" s="12"/>
      <c r="D186" s="12"/>
      <c r="E186" s="30"/>
      <c r="F186" s="88"/>
      <c r="G186" s="88"/>
      <c r="H186" s="30"/>
      <c r="I186" s="74"/>
      <c r="J186" s="84"/>
      <c r="K186" s="93">
        <v>142</v>
      </c>
      <c r="L186" s="93" t="s">
        <v>3818</v>
      </c>
      <c r="M186" s="94" t="s">
        <v>3819</v>
      </c>
      <c r="N186" s="95" t="s">
        <v>3571</v>
      </c>
      <c r="O186" s="77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x14ac:dyDescent="0.25">
      <c r="A187" s="75"/>
      <c r="B187" s="30"/>
      <c r="C187" s="12"/>
      <c r="D187" s="12"/>
      <c r="E187" s="30"/>
      <c r="F187" s="88"/>
      <c r="G187" s="88"/>
      <c r="H187" s="30"/>
      <c r="I187" s="74"/>
      <c r="J187" s="84"/>
      <c r="K187" s="93">
        <v>141</v>
      </c>
      <c r="L187" s="93" t="s">
        <v>3820</v>
      </c>
      <c r="M187" s="94" t="s">
        <v>3821</v>
      </c>
      <c r="N187" s="95" t="s">
        <v>3622</v>
      </c>
      <c r="O187" s="77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x14ac:dyDescent="0.25">
      <c r="A188" s="75"/>
      <c r="B188" s="30"/>
      <c r="C188" s="12"/>
      <c r="D188" s="12"/>
      <c r="E188" s="30"/>
      <c r="F188" s="88"/>
      <c r="G188" s="88"/>
      <c r="H188" s="30"/>
      <c r="I188" s="74"/>
      <c r="J188" s="84"/>
      <c r="K188" s="93">
        <v>140.19999999999999</v>
      </c>
      <c r="L188" s="93" t="s">
        <v>3822</v>
      </c>
      <c r="M188" s="94" t="s">
        <v>3823</v>
      </c>
      <c r="N188" s="95" t="s">
        <v>3729</v>
      </c>
      <c r="O188" s="77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x14ac:dyDescent="0.25">
      <c r="A189" s="75"/>
      <c r="B189" s="30"/>
      <c r="C189" s="12"/>
      <c r="D189" s="12"/>
      <c r="E189" s="30"/>
      <c r="F189" s="88"/>
      <c r="G189" s="88"/>
      <c r="H189" s="30"/>
      <c r="I189" s="74"/>
      <c r="J189" s="84"/>
      <c r="K189" s="93">
        <v>140.1</v>
      </c>
      <c r="L189" s="93" t="s">
        <v>3822</v>
      </c>
      <c r="M189" s="94" t="s">
        <v>3824</v>
      </c>
      <c r="N189" s="95" t="s">
        <v>3558</v>
      </c>
      <c r="O189" s="77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x14ac:dyDescent="0.25">
      <c r="A190" s="75"/>
      <c r="B190" s="30"/>
      <c r="C190" s="12"/>
      <c r="D190" s="12"/>
      <c r="E190" s="30"/>
      <c r="F190" s="88"/>
      <c r="G190" s="88"/>
      <c r="H190" s="30"/>
      <c r="I190" s="74"/>
      <c r="J190" s="84"/>
      <c r="K190" s="93">
        <v>139</v>
      </c>
      <c r="L190" s="93" t="s">
        <v>3825</v>
      </c>
      <c r="M190" s="94" t="s">
        <v>3826</v>
      </c>
      <c r="N190" s="95" t="s">
        <v>3601</v>
      </c>
      <c r="O190" s="77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x14ac:dyDescent="0.25">
      <c r="A191" s="75"/>
      <c r="B191" s="30"/>
      <c r="C191" s="12"/>
      <c r="D191" s="12"/>
      <c r="E191" s="30"/>
      <c r="F191" s="88"/>
      <c r="G191" s="88"/>
      <c r="H191" s="30"/>
      <c r="I191" s="74"/>
      <c r="J191" s="84"/>
      <c r="K191" s="93">
        <v>138</v>
      </c>
      <c r="L191" s="93" t="s">
        <v>3827</v>
      </c>
      <c r="M191" s="94" t="s">
        <v>3828</v>
      </c>
      <c r="N191" s="95" t="s">
        <v>3555</v>
      </c>
      <c r="O191" s="77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x14ac:dyDescent="0.25">
      <c r="A192" s="75"/>
      <c r="B192" s="30"/>
      <c r="C192" s="12"/>
      <c r="D192" s="12"/>
      <c r="E192" s="30"/>
      <c r="F192" s="88"/>
      <c r="G192" s="88"/>
      <c r="H192" s="30"/>
      <c r="I192" s="74"/>
      <c r="J192" s="84"/>
      <c r="K192" s="93">
        <v>137</v>
      </c>
      <c r="L192" s="93" t="s">
        <v>3829</v>
      </c>
      <c r="M192" s="94" t="s">
        <v>3830</v>
      </c>
      <c r="N192" s="95" t="s">
        <v>3583</v>
      </c>
      <c r="O192" s="77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x14ac:dyDescent="0.25">
      <c r="A193" s="75"/>
      <c r="B193" s="30"/>
      <c r="C193" s="12"/>
      <c r="D193" s="12"/>
      <c r="E193" s="30"/>
      <c r="F193" s="88"/>
      <c r="G193" s="88"/>
      <c r="H193" s="30"/>
      <c r="I193" s="74"/>
      <c r="J193" s="84"/>
      <c r="K193" s="93">
        <v>136</v>
      </c>
      <c r="L193" s="93" t="s">
        <v>3831</v>
      </c>
      <c r="M193" s="94" t="s">
        <v>3832</v>
      </c>
      <c r="N193" s="95" t="s">
        <v>3833</v>
      </c>
      <c r="O193" s="77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x14ac:dyDescent="0.25">
      <c r="A194" s="75"/>
      <c r="B194" s="30"/>
      <c r="C194" s="12"/>
      <c r="D194" s="12"/>
      <c r="E194" s="30"/>
      <c r="F194" s="88"/>
      <c r="G194" s="88"/>
      <c r="H194" s="30"/>
      <c r="I194" s="74"/>
      <c r="J194" s="84"/>
      <c r="K194" s="93">
        <v>135</v>
      </c>
      <c r="L194" s="93" t="s">
        <v>3834</v>
      </c>
      <c r="M194" s="94" t="s">
        <v>3835</v>
      </c>
      <c r="N194" s="95" t="s">
        <v>3588</v>
      </c>
      <c r="O194" s="77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x14ac:dyDescent="0.25">
      <c r="A195" s="75"/>
      <c r="B195" s="30"/>
      <c r="C195" s="12"/>
      <c r="D195" s="12"/>
      <c r="E195" s="30"/>
      <c r="F195" s="88"/>
      <c r="G195" s="88"/>
      <c r="H195" s="30"/>
      <c r="I195" s="74"/>
      <c r="J195" s="84"/>
      <c r="K195" s="93">
        <v>134</v>
      </c>
      <c r="L195" s="93" t="s">
        <v>3836</v>
      </c>
      <c r="M195" s="94" t="s">
        <v>3837</v>
      </c>
      <c r="N195" s="95" t="s">
        <v>3664</v>
      </c>
      <c r="O195" s="77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x14ac:dyDescent="0.25">
      <c r="A196" s="75"/>
      <c r="B196" s="30"/>
      <c r="C196" s="12"/>
      <c r="D196" s="12"/>
      <c r="E196" s="30"/>
      <c r="F196" s="88"/>
      <c r="G196" s="88"/>
      <c r="H196" s="30"/>
      <c r="I196" s="74"/>
      <c r="J196" s="84"/>
      <c r="K196" s="93">
        <v>133</v>
      </c>
      <c r="L196" s="93" t="s">
        <v>3838</v>
      </c>
      <c r="M196" s="94" t="s">
        <v>3839</v>
      </c>
      <c r="N196" s="95" t="s">
        <v>3622</v>
      </c>
      <c r="O196" s="77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x14ac:dyDescent="0.25">
      <c r="A197" s="75"/>
      <c r="B197" s="30"/>
      <c r="C197" s="12"/>
      <c r="D197" s="12"/>
      <c r="E197" s="30"/>
      <c r="F197" s="88"/>
      <c r="G197" s="88"/>
      <c r="H197" s="30"/>
      <c r="I197" s="74"/>
      <c r="J197" s="84"/>
      <c r="K197" s="93">
        <v>132</v>
      </c>
      <c r="L197" s="93" t="s">
        <v>3840</v>
      </c>
      <c r="M197" s="94" t="s">
        <v>3841</v>
      </c>
      <c r="N197" s="95" t="s">
        <v>3615</v>
      </c>
      <c r="O197" s="77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x14ac:dyDescent="0.25">
      <c r="A198" s="75"/>
      <c r="B198" s="30"/>
      <c r="C198" s="12"/>
      <c r="D198" s="12"/>
      <c r="E198" s="30"/>
      <c r="F198" s="88"/>
      <c r="G198" s="88"/>
      <c r="H198" s="30"/>
      <c r="I198" s="74"/>
      <c r="J198" s="84"/>
      <c r="K198" s="93">
        <v>131</v>
      </c>
      <c r="L198" s="93" t="s">
        <v>3842</v>
      </c>
      <c r="M198" s="94" t="s">
        <v>3843</v>
      </c>
      <c r="N198" s="95" t="s">
        <v>3844</v>
      </c>
      <c r="O198" s="77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x14ac:dyDescent="0.25">
      <c r="A199" s="75"/>
      <c r="B199" s="30"/>
      <c r="C199" s="12"/>
      <c r="D199" s="12"/>
      <c r="E199" s="30"/>
      <c r="F199" s="88"/>
      <c r="G199" s="88"/>
      <c r="H199" s="30"/>
      <c r="I199" s="74"/>
      <c r="J199" s="84"/>
      <c r="K199" s="93">
        <v>130</v>
      </c>
      <c r="L199" s="93" t="s">
        <v>3845</v>
      </c>
      <c r="M199" s="94" t="s">
        <v>3846</v>
      </c>
      <c r="N199" s="95" t="s">
        <v>3601</v>
      </c>
      <c r="O199" s="77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x14ac:dyDescent="0.25">
      <c r="A200" s="75"/>
      <c r="B200" s="30"/>
      <c r="C200" s="12"/>
      <c r="D200" s="12"/>
      <c r="E200" s="30"/>
      <c r="F200" s="88"/>
      <c r="G200" s="88"/>
      <c r="H200" s="30"/>
      <c r="I200" s="74"/>
      <c r="J200" s="84"/>
      <c r="K200" s="93">
        <v>129</v>
      </c>
      <c r="L200" s="93" t="s">
        <v>3847</v>
      </c>
      <c r="M200" s="94" t="s">
        <v>3848</v>
      </c>
      <c r="N200" s="95" t="s">
        <v>3833</v>
      </c>
      <c r="O200" s="77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x14ac:dyDescent="0.25">
      <c r="A201" s="75"/>
      <c r="B201" s="30"/>
      <c r="C201" s="12"/>
      <c r="D201" s="12"/>
      <c r="E201" s="30"/>
      <c r="F201" s="88"/>
      <c r="G201" s="88"/>
      <c r="H201" s="30"/>
      <c r="I201" s="74"/>
      <c r="J201" s="84"/>
      <c r="K201" s="93">
        <v>128.19999999999999</v>
      </c>
      <c r="L201" s="93" t="s">
        <v>3849</v>
      </c>
      <c r="M201" s="94" t="s">
        <v>3850</v>
      </c>
      <c r="N201" s="95" t="s">
        <v>3729</v>
      </c>
      <c r="O201" s="77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x14ac:dyDescent="0.25">
      <c r="A202" s="75"/>
      <c r="B202" s="30"/>
      <c r="C202" s="12"/>
      <c r="D202" s="12"/>
      <c r="E202" s="30"/>
      <c r="F202" s="88"/>
      <c r="G202" s="88"/>
      <c r="H202" s="30"/>
      <c r="I202" s="74"/>
      <c r="J202" s="84"/>
      <c r="K202" s="93">
        <v>128.1</v>
      </c>
      <c r="L202" s="93" t="s">
        <v>3851</v>
      </c>
      <c r="M202" s="94" t="s">
        <v>3852</v>
      </c>
      <c r="N202" s="95" t="s">
        <v>3558</v>
      </c>
      <c r="O202" s="77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x14ac:dyDescent="0.25">
      <c r="A203" s="75"/>
      <c r="B203" s="30"/>
      <c r="C203" s="12"/>
      <c r="D203" s="12"/>
      <c r="E203" s="30"/>
      <c r="F203" s="88"/>
      <c r="G203" s="88"/>
      <c r="H203" s="30"/>
      <c r="I203" s="74"/>
      <c r="J203" s="84"/>
      <c r="K203" s="93">
        <v>127</v>
      </c>
      <c r="L203" s="93" t="s">
        <v>3853</v>
      </c>
      <c r="M203" s="94" t="s">
        <v>3854</v>
      </c>
      <c r="N203" s="95" t="s">
        <v>3615</v>
      </c>
      <c r="O203" s="77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x14ac:dyDescent="0.25">
      <c r="A204" s="75"/>
      <c r="B204" s="30"/>
      <c r="C204" s="12"/>
      <c r="D204" s="12"/>
      <c r="E204" s="30"/>
      <c r="F204" s="88"/>
      <c r="G204" s="88"/>
      <c r="H204" s="30"/>
      <c r="I204" s="74"/>
      <c r="J204" s="84"/>
      <c r="K204" s="93">
        <v>126</v>
      </c>
      <c r="L204" s="93" t="s">
        <v>3855</v>
      </c>
      <c r="M204" s="94" t="s">
        <v>3856</v>
      </c>
      <c r="N204" s="95" t="s">
        <v>3833</v>
      </c>
      <c r="O204" s="77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x14ac:dyDescent="0.25">
      <c r="A205" s="75"/>
      <c r="B205" s="30"/>
      <c r="C205" s="12"/>
      <c r="D205" s="12"/>
      <c r="E205" s="30"/>
      <c r="F205" s="88"/>
      <c r="G205" s="88"/>
      <c r="H205" s="30"/>
      <c r="I205" s="74"/>
      <c r="J205" s="84"/>
      <c r="K205" s="93">
        <v>125</v>
      </c>
      <c r="L205" s="93" t="s">
        <v>3857</v>
      </c>
      <c r="M205" s="94" t="s">
        <v>3858</v>
      </c>
      <c r="N205" s="95" t="s">
        <v>3671</v>
      </c>
      <c r="O205" s="77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x14ac:dyDescent="0.25">
      <c r="A206" s="75"/>
      <c r="B206" s="30"/>
      <c r="C206" s="12"/>
      <c r="D206" s="12"/>
      <c r="E206" s="30"/>
      <c r="F206" s="88"/>
      <c r="G206" s="88"/>
      <c r="H206" s="30"/>
      <c r="I206" s="74"/>
      <c r="J206" s="84"/>
      <c r="K206" s="93">
        <v>124</v>
      </c>
      <c r="L206" s="93" t="s">
        <v>3859</v>
      </c>
      <c r="M206" s="94" t="s">
        <v>3860</v>
      </c>
      <c r="N206" s="95" t="s">
        <v>3664</v>
      </c>
      <c r="O206" s="77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x14ac:dyDescent="0.25">
      <c r="A207" s="75"/>
      <c r="B207" s="30"/>
      <c r="C207" s="12"/>
      <c r="D207" s="12"/>
      <c r="E207" s="30"/>
      <c r="F207" s="88"/>
      <c r="G207" s="88"/>
      <c r="H207" s="30"/>
      <c r="I207" s="74"/>
      <c r="J207" s="84"/>
      <c r="K207" s="93">
        <v>123</v>
      </c>
      <c r="L207" s="93" t="s">
        <v>3861</v>
      </c>
      <c r="M207" s="94" t="s">
        <v>3862</v>
      </c>
      <c r="N207" s="95" t="s">
        <v>3664</v>
      </c>
      <c r="O207" s="77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x14ac:dyDescent="0.25">
      <c r="A208" s="75"/>
      <c r="B208" s="30"/>
      <c r="C208" s="12"/>
      <c r="D208" s="12"/>
      <c r="E208" s="30"/>
      <c r="F208" s="88"/>
      <c r="G208" s="88"/>
      <c r="H208" s="30"/>
      <c r="I208" s="74"/>
      <c r="J208" s="84"/>
      <c r="K208" s="93">
        <v>122</v>
      </c>
      <c r="L208" s="93" t="s">
        <v>3863</v>
      </c>
      <c r="M208" s="94" t="s">
        <v>3864</v>
      </c>
      <c r="N208" s="95" t="s">
        <v>3585</v>
      </c>
      <c r="O208" s="77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x14ac:dyDescent="0.25">
      <c r="A209" s="75"/>
      <c r="B209" s="30"/>
      <c r="C209" s="12"/>
      <c r="D209" s="12"/>
      <c r="E209" s="30"/>
      <c r="F209" s="88"/>
      <c r="G209" s="88"/>
      <c r="H209" s="30"/>
      <c r="I209" s="74"/>
      <c r="J209" s="84"/>
      <c r="K209" s="93">
        <v>121</v>
      </c>
      <c r="L209" s="93" t="s">
        <v>3612</v>
      </c>
      <c r="M209" s="94" t="s">
        <v>3865</v>
      </c>
      <c r="N209" s="95" t="s">
        <v>3594</v>
      </c>
      <c r="O209" s="77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x14ac:dyDescent="0.25">
      <c r="A210" s="75"/>
      <c r="B210" s="30"/>
      <c r="C210" s="12"/>
      <c r="D210" s="12"/>
      <c r="E210" s="30"/>
      <c r="F210" s="88"/>
      <c r="G210" s="88"/>
      <c r="H210" s="30"/>
      <c r="I210" s="74"/>
      <c r="J210" s="84"/>
      <c r="K210" s="93">
        <v>119</v>
      </c>
      <c r="L210" s="93" t="s">
        <v>3866</v>
      </c>
      <c r="M210" s="94" t="s">
        <v>3867</v>
      </c>
      <c r="N210" s="95" t="s">
        <v>3868</v>
      </c>
      <c r="O210" s="77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x14ac:dyDescent="0.25">
      <c r="A211" s="75"/>
      <c r="B211" s="30"/>
      <c r="C211" s="12"/>
      <c r="D211" s="12"/>
      <c r="E211" s="30"/>
      <c r="F211" s="88"/>
      <c r="G211" s="88"/>
      <c r="H211" s="30"/>
      <c r="I211" s="74"/>
      <c r="J211" s="84"/>
      <c r="K211" s="93">
        <v>118</v>
      </c>
      <c r="L211" s="93" t="s">
        <v>3869</v>
      </c>
      <c r="M211" s="94" t="s">
        <v>3870</v>
      </c>
      <c r="N211" s="95" t="s">
        <v>3594</v>
      </c>
      <c r="O211" s="77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x14ac:dyDescent="0.25">
      <c r="A212" s="75"/>
      <c r="B212" s="30"/>
      <c r="C212" s="12"/>
      <c r="D212" s="12"/>
      <c r="E212" s="30"/>
      <c r="F212" s="88"/>
      <c r="G212" s="88"/>
      <c r="H212" s="30"/>
      <c r="I212" s="74"/>
      <c r="J212" s="84"/>
      <c r="K212" s="93">
        <v>117</v>
      </c>
      <c r="L212" s="93" t="s">
        <v>3642</v>
      </c>
      <c r="M212" s="94" t="s">
        <v>3871</v>
      </c>
      <c r="N212" s="95" t="s">
        <v>3555</v>
      </c>
      <c r="O212" s="77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x14ac:dyDescent="0.25">
      <c r="A213" s="75"/>
      <c r="B213" s="30"/>
      <c r="C213" s="12"/>
      <c r="D213" s="12"/>
      <c r="E213" s="30"/>
      <c r="F213" s="88"/>
      <c r="G213" s="88"/>
      <c r="H213" s="30"/>
      <c r="I213" s="74"/>
      <c r="J213" s="84"/>
      <c r="K213" s="93">
        <v>116</v>
      </c>
      <c r="L213" s="93" t="s">
        <v>3872</v>
      </c>
      <c r="M213" s="94" t="s">
        <v>3873</v>
      </c>
      <c r="N213" s="95" t="s">
        <v>3562</v>
      </c>
      <c r="O213" s="77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x14ac:dyDescent="0.25">
      <c r="A214" s="75"/>
      <c r="B214" s="30"/>
      <c r="C214" s="12"/>
      <c r="D214" s="12"/>
      <c r="E214" s="30"/>
      <c r="F214" s="88"/>
      <c r="G214" s="88"/>
      <c r="H214" s="30"/>
      <c r="I214" s="74"/>
      <c r="J214" s="84"/>
      <c r="K214" s="93">
        <v>115</v>
      </c>
      <c r="L214" s="93" t="s">
        <v>3874</v>
      </c>
      <c r="M214" s="94" t="s">
        <v>3875</v>
      </c>
      <c r="N214" s="95" t="s">
        <v>3594</v>
      </c>
      <c r="O214" s="77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x14ac:dyDescent="0.25">
      <c r="A215" s="75"/>
      <c r="B215" s="30"/>
      <c r="C215" s="12"/>
      <c r="D215" s="12"/>
      <c r="E215" s="30"/>
      <c r="F215" s="88"/>
      <c r="G215" s="88"/>
      <c r="H215" s="30"/>
      <c r="I215" s="74"/>
      <c r="J215" s="84"/>
      <c r="K215" s="93">
        <v>114</v>
      </c>
      <c r="L215" s="93" t="s">
        <v>3876</v>
      </c>
      <c r="M215" s="94" t="s">
        <v>3877</v>
      </c>
      <c r="N215" s="95" t="s">
        <v>3594</v>
      </c>
      <c r="O215" s="77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x14ac:dyDescent="0.25">
      <c r="A216" s="75"/>
      <c r="B216" s="30"/>
      <c r="C216" s="12"/>
      <c r="D216" s="12"/>
      <c r="E216" s="30"/>
      <c r="F216" s="88"/>
      <c r="G216" s="88"/>
      <c r="H216" s="30"/>
      <c r="I216" s="74"/>
      <c r="J216" s="84"/>
      <c r="K216" s="93">
        <v>112</v>
      </c>
      <c r="L216" s="93" t="s">
        <v>3878</v>
      </c>
      <c r="M216" s="94" t="s">
        <v>3879</v>
      </c>
      <c r="N216" s="95" t="s">
        <v>3615</v>
      </c>
      <c r="O216" s="77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x14ac:dyDescent="0.25">
      <c r="A217" s="75"/>
      <c r="B217" s="30"/>
      <c r="C217" s="12"/>
      <c r="D217" s="12"/>
      <c r="E217" s="30"/>
      <c r="F217" s="88"/>
      <c r="G217" s="88"/>
      <c r="H217" s="30"/>
      <c r="I217" s="74"/>
      <c r="J217" s="84"/>
      <c r="K217" s="93">
        <v>111</v>
      </c>
      <c r="L217" s="93" t="s">
        <v>3880</v>
      </c>
      <c r="M217" s="94" t="s">
        <v>3881</v>
      </c>
      <c r="N217" s="95" t="s">
        <v>3562</v>
      </c>
      <c r="O217" s="77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x14ac:dyDescent="0.25">
      <c r="A218" s="75"/>
      <c r="B218" s="30"/>
      <c r="C218" s="12"/>
      <c r="D218" s="12"/>
      <c r="E218" s="30"/>
      <c r="F218" s="88"/>
      <c r="G218" s="88"/>
      <c r="H218" s="30"/>
      <c r="I218" s="74"/>
      <c r="J218" s="84"/>
      <c r="K218" s="93">
        <v>110</v>
      </c>
      <c r="L218" s="93" t="s">
        <v>3882</v>
      </c>
      <c r="M218" s="94" t="s">
        <v>3883</v>
      </c>
      <c r="N218" s="95" t="s">
        <v>3571</v>
      </c>
      <c r="O218" s="77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x14ac:dyDescent="0.25">
      <c r="A219" s="75"/>
      <c r="B219" s="30"/>
      <c r="C219" s="12"/>
      <c r="D219" s="12"/>
      <c r="E219" s="30"/>
      <c r="F219" s="88"/>
      <c r="G219" s="88"/>
      <c r="H219" s="30"/>
      <c r="I219" s="74"/>
      <c r="J219" s="84"/>
      <c r="K219" s="93">
        <v>109</v>
      </c>
      <c r="L219" s="93" t="s">
        <v>3884</v>
      </c>
      <c r="M219" s="94" t="s">
        <v>3885</v>
      </c>
      <c r="N219" s="95" t="s">
        <v>3664</v>
      </c>
      <c r="O219" s="77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x14ac:dyDescent="0.25">
      <c r="A220" s="75"/>
      <c r="B220" s="30"/>
      <c r="C220" s="12"/>
      <c r="D220" s="12"/>
      <c r="E220" s="30"/>
      <c r="F220" s="88"/>
      <c r="G220" s="88"/>
      <c r="H220" s="30"/>
      <c r="I220" s="74"/>
      <c r="J220" s="84"/>
      <c r="K220" s="93">
        <v>108</v>
      </c>
      <c r="L220" s="93" t="s">
        <v>3886</v>
      </c>
      <c r="M220" s="94" t="s">
        <v>3887</v>
      </c>
      <c r="N220" s="95" t="s">
        <v>3553</v>
      </c>
      <c r="O220" s="77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x14ac:dyDescent="0.25">
      <c r="A221" s="75"/>
      <c r="B221" s="30"/>
      <c r="C221" s="12"/>
      <c r="D221" s="12"/>
      <c r="E221" s="30"/>
      <c r="F221" s="88"/>
      <c r="G221" s="88"/>
      <c r="H221" s="30"/>
      <c r="I221" s="74"/>
      <c r="J221" s="84"/>
      <c r="K221" s="93">
        <v>107</v>
      </c>
      <c r="L221" s="93" t="s">
        <v>3888</v>
      </c>
      <c r="M221" s="94" t="s">
        <v>3889</v>
      </c>
      <c r="N221" s="95" t="s">
        <v>3553</v>
      </c>
      <c r="O221" s="77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1:27" x14ac:dyDescent="0.25">
      <c r="A222" s="75"/>
      <c r="B222" s="30"/>
      <c r="C222" s="12"/>
      <c r="D222" s="12"/>
      <c r="E222" s="30"/>
      <c r="F222" s="88"/>
      <c r="G222" s="88"/>
      <c r="H222" s="30"/>
      <c r="I222" s="74"/>
      <c r="J222" s="84"/>
      <c r="K222" s="93">
        <v>106</v>
      </c>
      <c r="L222" s="93" t="s">
        <v>3890</v>
      </c>
      <c r="M222" s="94" t="s">
        <v>3891</v>
      </c>
      <c r="N222" s="95" t="s">
        <v>3580</v>
      </c>
      <c r="O222" s="77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1:27" x14ac:dyDescent="0.25">
      <c r="A223" s="75"/>
      <c r="B223" s="30"/>
      <c r="C223" s="12"/>
      <c r="D223" s="12"/>
      <c r="E223" s="30"/>
      <c r="F223" s="88"/>
      <c r="G223" s="88"/>
      <c r="H223" s="30"/>
      <c r="I223" s="74"/>
      <c r="J223" s="84"/>
      <c r="K223" s="93">
        <v>105</v>
      </c>
      <c r="L223" s="93" t="s">
        <v>3892</v>
      </c>
      <c r="M223" s="94" t="s">
        <v>3893</v>
      </c>
      <c r="N223" s="95" t="s">
        <v>3594</v>
      </c>
      <c r="O223" s="77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1:27" x14ac:dyDescent="0.25">
      <c r="A224" s="75"/>
      <c r="B224" s="30"/>
      <c r="C224" s="12"/>
      <c r="D224" s="12"/>
      <c r="E224" s="30"/>
      <c r="F224" s="88"/>
      <c r="G224" s="88"/>
      <c r="H224" s="30"/>
      <c r="I224" s="74"/>
      <c r="J224" s="84"/>
      <c r="K224" s="93">
        <v>104</v>
      </c>
      <c r="L224" s="93" t="s">
        <v>3894</v>
      </c>
      <c r="M224" s="94" t="s">
        <v>3895</v>
      </c>
      <c r="N224" s="95" t="s">
        <v>3594</v>
      </c>
      <c r="O224" s="77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1:27" x14ac:dyDescent="0.25">
      <c r="A225" s="75"/>
      <c r="B225" s="30"/>
      <c r="C225" s="12"/>
      <c r="D225" s="12"/>
      <c r="E225" s="30"/>
      <c r="F225" s="88"/>
      <c r="G225" s="88"/>
      <c r="H225" s="30"/>
      <c r="I225" s="74"/>
      <c r="J225" s="84"/>
      <c r="K225" s="93">
        <v>103</v>
      </c>
      <c r="L225" s="93" t="s">
        <v>3896</v>
      </c>
      <c r="M225" s="94" t="s">
        <v>3897</v>
      </c>
      <c r="N225" s="95" t="s">
        <v>3588</v>
      </c>
      <c r="O225" s="77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1:27" x14ac:dyDescent="0.25">
      <c r="A226" s="75"/>
      <c r="B226" s="30"/>
      <c r="C226" s="12"/>
      <c r="D226" s="12"/>
      <c r="E226" s="30"/>
      <c r="F226" s="88"/>
      <c r="G226" s="88"/>
      <c r="H226" s="30"/>
      <c r="I226" s="74"/>
      <c r="J226" s="84"/>
      <c r="K226" s="93">
        <v>102</v>
      </c>
      <c r="L226" s="93" t="s">
        <v>3593</v>
      </c>
      <c r="M226" s="94" t="s">
        <v>3898</v>
      </c>
      <c r="N226" s="95" t="s">
        <v>3594</v>
      </c>
      <c r="O226" s="77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1:27" x14ac:dyDescent="0.25">
      <c r="A227" s="75"/>
      <c r="B227" s="30"/>
      <c r="C227" s="12"/>
      <c r="D227" s="12"/>
      <c r="E227" s="30"/>
      <c r="F227" s="88"/>
      <c r="G227" s="88"/>
      <c r="H227" s="30"/>
      <c r="I227" s="74"/>
      <c r="J227" s="84"/>
      <c r="K227" s="93">
        <v>101</v>
      </c>
      <c r="L227" s="93" t="s">
        <v>3899</v>
      </c>
      <c r="M227" s="94" t="s">
        <v>3900</v>
      </c>
      <c r="N227" s="95" t="s">
        <v>3553</v>
      </c>
      <c r="O227" s="77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1:27" x14ac:dyDescent="0.25">
      <c r="A228" s="75"/>
      <c r="B228" s="30"/>
      <c r="C228" s="12"/>
      <c r="D228" s="12"/>
      <c r="E228" s="30"/>
      <c r="F228" s="88"/>
      <c r="G228" s="88"/>
      <c r="H228" s="30"/>
      <c r="I228" s="74"/>
      <c r="J228" s="84"/>
      <c r="K228" s="93">
        <v>100.9</v>
      </c>
      <c r="L228" s="93" t="s">
        <v>3901</v>
      </c>
      <c r="M228" s="94" t="s">
        <v>3902</v>
      </c>
      <c r="N228" s="95" t="s">
        <v>3729</v>
      </c>
      <c r="O228" s="77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1:27" x14ac:dyDescent="0.25">
      <c r="A229" s="75"/>
      <c r="B229" s="30"/>
      <c r="C229" s="12"/>
      <c r="D229" s="12"/>
      <c r="E229" s="30"/>
      <c r="F229" s="88"/>
      <c r="G229" s="88"/>
      <c r="H229" s="30"/>
      <c r="I229" s="74"/>
      <c r="J229" s="84"/>
      <c r="K229" s="93">
        <v>100.8</v>
      </c>
      <c r="L229" s="93" t="s">
        <v>3903</v>
      </c>
      <c r="M229" s="94" t="s">
        <v>3904</v>
      </c>
      <c r="N229" s="95" t="s">
        <v>3729</v>
      </c>
      <c r="O229" s="77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1:27" x14ac:dyDescent="0.25">
      <c r="A230" s="75"/>
      <c r="B230" s="30"/>
      <c r="C230" s="12"/>
      <c r="D230" s="12"/>
      <c r="E230" s="30"/>
      <c r="F230" s="88"/>
      <c r="G230" s="88"/>
      <c r="H230" s="30"/>
      <c r="I230" s="74"/>
      <c r="J230" s="84"/>
      <c r="K230" s="93">
        <v>100.7</v>
      </c>
      <c r="L230" s="93" t="s">
        <v>3905</v>
      </c>
      <c r="M230" s="94" t="s">
        <v>3906</v>
      </c>
      <c r="N230" s="95" t="s">
        <v>3729</v>
      </c>
      <c r="O230" s="77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1:27" x14ac:dyDescent="0.25">
      <c r="A231" s="75"/>
      <c r="B231" s="30"/>
      <c r="C231" s="12"/>
      <c r="D231" s="12"/>
      <c r="E231" s="30"/>
      <c r="F231" s="88"/>
      <c r="G231" s="88"/>
      <c r="H231" s="30"/>
      <c r="I231" s="74"/>
      <c r="J231" s="84"/>
      <c r="K231" s="93">
        <v>100.6</v>
      </c>
      <c r="L231" s="93" t="s">
        <v>3907</v>
      </c>
      <c r="M231" s="94" t="s">
        <v>3908</v>
      </c>
      <c r="N231" s="95" t="s">
        <v>3729</v>
      </c>
      <c r="O231" s="77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1:27" x14ac:dyDescent="0.25">
      <c r="A232" s="75"/>
      <c r="B232" s="30"/>
      <c r="C232" s="12"/>
      <c r="D232" s="12"/>
      <c r="E232" s="30"/>
      <c r="F232" s="88"/>
      <c r="G232" s="88"/>
      <c r="H232" s="30"/>
      <c r="I232" s="74"/>
      <c r="J232" s="84"/>
      <c r="K232" s="93">
        <v>100.5</v>
      </c>
      <c r="L232" s="93" t="s">
        <v>3909</v>
      </c>
      <c r="M232" s="94" t="s">
        <v>3910</v>
      </c>
      <c r="N232" s="95" t="s">
        <v>3729</v>
      </c>
      <c r="O232" s="77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1:27" x14ac:dyDescent="0.25">
      <c r="A233" s="75"/>
      <c r="B233" s="30"/>
      <c r="C233" s="12"/>
      <c r="D233" s="12"/>
      <c r="E233" s="30"/>
      <c r="F233" s="88"/>
      <c r="G233" s="88"/>
      <c r="H233" s="30"/>
      <c r="I233" s="74"/>
      <c r="J233" s="84"/>
      <c r="K233" s="93">
        <v>100.4</v>
      </c>
      <c r="L233" s="93" t="s">
        <v>3901</v>
      </c>
      <c r="M233" s="94" t="s">
        <v>3911</v>
      </c>
      <c r="N233" s="95" t="s">
        <v>3729</v>
      </c>
      <c r="O233" s="77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1:27" x14ac:dyDescent="0.25">
      <c r="A234" s="75"/>
      <c r="B234" s="30"/>
      <c r="C234" s="12"/>
      <c r="D234" s="12"/>
      <c r="E234" s="30"/>
      <c r="F234" s="88"/>
      <c r="G234" s="88"/>
      <c r="H234" s="30"/>
      <c r="I234" s="74"/>
      <c r="J234" s="84"/>
      <c r="K234" s="93">
        <v>100.3</v>
      </c>
      <c r="L234" s="93" t="s">
        <v>3903</v>
      </c>
      <c r="M234" s="94" t="s">
        <v>3912</v>
      </c>
      <c r="N234" s="95" t="s">
        <v>3729</v>
      </c>
      <c r="O234" s="77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1:27" x14ac:dyDescent="0.25">
      <c r="A235" s="75"/>
      <c r="B235" s="30"/>
      <c r="C235" s="12"/>
      <c r="D235" s="12"/>
      <c r="E235" s="30"/>
      <c r="F235" s="88"/>
      <c r="G235" s="88"/>
      <c r="H235" s="30"/>
      <c r="I235" s="74"/>
      <c r="J235" s="84"/>
      <c r="K235" s="93">
        <v>100.2</v>
      </c>
      <c r="L235" s="93" t="s">
        <v>3905</v>
      </c>
      <c r="M235" s="94" t="s">
        <v>3913</v>
      </c>
      <c r="N235" s="95" t="s">
        <v>3729</v>
      </c>
      <c r="O235" s="77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1:27" x14ac:dyDescent="0.25">
      <c r="A236" s="75"/>
      <c r="B236" s="30"/>
      <c r="C236" s="12"/>
      <c r="D236" s="12"/>
      <c r="E236" s="30"/>
      <c r="F236" s="88"/>
      <c r="G236" s="88"/>
      <c r="H236" s="30"/>
      <c r="I236" s="74"/>
      <c r="J236" s="84"/>
      <c r="K236" s="93">
        <v>100.1</v>
      </c>
      <c r="L236" s="93" t="s">
        <v>3907</v>
      </c>
      <c r="M236" s="94" t="s">
        <v>3914</v>
      </c>
      <c r="N236" s="95" t="s">
        <v>3729</v>
      </c>
      <c r="O236" s="77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1:27" x14ac:dyDescent="0.25">
      <c r="A237" s="75"/>
      <c r="B237" s="30"/>
      <c r="C237" s="12"/>
      <c r="D237" s="12"/>
      <c r="E237" s="30"/>
      <c r="F237" s="88"/>
      <c r="G237" s="88"/>
      <c r="H237" s="30"/>
      <c r="I237" s="74"/>
      <c r="J237" s="84"/>
      <c r="K237" s="93">
        <v>100</v>
      </c>
      <c r="L237" s="93" t="s">
        <v>3909</v>
      </c>
      <c r="M237" s="94" t="s">
        <v>3915</v>
      </c>
      <c r="N237" s="95" t="s">
        <v>3729</v>
      </c>
      <c r="O237" s="77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1:27" x14ac:dyDescent="0.25">
      <c r="A238" s="75"/>
      <c r="B238" s="30"/>
      <c r="C238" s="12"/>
      <c r="D238" s="12"/>
      <c r="E238" s="30"/>
      <c r="F238" s="88"/>
      <c r="G238" s="88"/>
      <c r="H238" s="30"/>
      <c r="I238" s="74"/>
      <c r="J238" s="84"/>
      <c r="K238" s="93">
        <v>99.1</v>
      </c>
      <c r="L238" s="93" t="s">
        <v>3916</v>
      </c>
      <c r="M238" s="94" t="s">
        <v>3917</v>
      </c>
      <c r="N238" s="95" t="s">
        <v>3664</v>
      </c>
      <c r="O238" s="77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1:27" x14ac:dyDescent="0.25">
      <c r="A239" s="75"/>
      <c r="B239" s="30"/>
      <c r="C239" s="12"/>
      <c r="D239" s="12"/>
      <c r="E239" s="30"/>
      <c r="F239" s="88"/>
      <c r="G239" s="88"/>
      <c r="H239" s="30"/>
      <c r="I239" s="74"/>
      <c r="J239" s="84"/>
      <c r="K239" s="93">
        <v>99</v>
      </c>
      <c r="L239" s="93" t="s">
        <v>3918</v>
      </c>
      <c r="M239" s="94" t="s">
        <v>3919</v>
      </c>
      <c r="N239" s="95" t="s">
        <v>3664</v>
      </c>
      <c r="O239" s="77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1:27" x14ac:dyDescent="0.25">
      <c r="A240" s="75"/>
      <c r="B240" s="30"/>
      <c r="C240" s="12"/>
      <c r="D240" s="12"/>
      <c r="E240" s="30"/>
      <c r="F240" s="88"/>
      <c r="G240" s="88"/>
      <c r="H240" s="30"/>
      <c r="I240" s="74"/>
      <c r="J240" s="84"/>
      <c r="K240" s="93">
        <v>98</v>
      </c>
      <c r="L240" s="93" t="s">
        <v>3920</v>
      </c>
      <c r="M240" s="94" t="s">
        <v>3921</v>
      </c>
      <c r="N240" s="95" t="s">
        <v>3553</v>
      </c>
      <c r="O240" s="77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1:27" x14ac:dyDescent="0.25">
      <c r="A241" s="75"/>
      <c r="B241" s="30"/>
      <c r="C241" s="12"/>
      <c r="D241" s="12"/>
      <c r="E241" s="30"/>
      <c r="F241" s="88"/>
      <c r="G241" s="88"/>
      <c r="H241" s="30"/>
      <c r="I241" s="74"/>
      <c r="J241" s="84"/>
      <c r="K241" s="93">
        <v>96</v>
      </c>
      <c r="L241" s="93" t="s">
        <v>3922</v>
      </c>
      <c r="M241" s="94" t="s">
        <v>3923</v>
      </c>
      <c r="N241" s="95" t="s">
        <v>3580</v>
      </c>
      <c r="O241" s="77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1:27" x14ac:dyDescent="0.25">
      <c r="A242" s="75"/>
      <c r="B242" s="30"/>
      <c r="C242" s="12"/>
      <c r="D242" s="12"/>
      <c r="E242" s="30"/>
      <c r="F242" s="88"/>
      <c r="G242" s="88"/>
      <c r="H242" s="30"/>
      <c r="I242" s="74"/>
      <c r="J242" s="84"/>
      <c r="K242" s="93">
        <v>95</v>
      </c>
      <c r="L242" s="93" t="s">
        <v>3924</v>
      </c>
      <c r="M242" s="94" t="s">
        <v>3925</v>
      </c>
      <c r="N242" s="95" t="s">
        <v>3583</v>
      </c>
      <c r="O242" s="77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1:27" x14ac:dyDescent="0.25">
      <c r="A243" s="75"/>
      <c r="B243" s="30"/>
      <c r="C243" s="12"/>
      <c r="D243" s="12"/>
      <c r="E243" s="30"/>
      <c r="F243" s="88"/>
      <c r="G243" s="88"/>
      <c r="H243" s="30"/>
      <c r="I243" s="74"/>
      <c r="J243" s="84"/>
      <c r="K243" s="93">
        <v>93</v>
      </c>
      <c r="L243" s="93" t="s">
        <v>3926</v>
      </c>
      <c r="M243" s="94" t="s">
        <v>3927</v>
      </c>
      <c r="N243" s="95" t="s">
        <v>3588</v>
      </c>
      <c r="O243" s="77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1:27" x14ac:dyDescent="0.25">
      <c r="A244" s="75"/>
      <c r="B244" s="30"/>
      <c r="C244" s="12"/>
      <c r="D244" s="12"/>
      <c r="E244" s="30"/>
      <c r="F244" s="88"/>
      <c r="G244" s="88"/>
      <c r="H244" s="30"/>
      <c r="I244" s="74"/>
      <c r="J244" s="84"/>
      <c r="K244" s="93">
        <v>92</v>
      </c>
      <c r="L244" s="93" t="s">
        <v>3928</v>
      </c>
      <c r="M244" s="94" t="s">
        <v>3929</v>
      </c>
      <c r="N244" s="95" t="s">
        <v>3588</v>
      </c>
      <c r="O244" s="77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1:27" x14ac:dyDescent="0.25">
      <c r="A245" s="75"/>
      <c r="B245" s="30"/>
      <c r="C245" s="12"/>
      <c r="D245" s="12"/>
      <c r="E245" s="30"/>
      <c r="F245" s="88"/>
      <c r="G245" s="88"/>
      <c r="H245" s="30"/>
      <c r="I245" s="74"/>
      <c r="J245" s="84"/>
      <c r="K245" s="93">
        <v>91</v>
      </c>
      <c r="L245" s="93" t="s">
        <v>3930</v>
      </c>
      <c r="M245" s="94" t="s">
        <v>3931</v>
      </c>
      <c r="N245" s="95" t="s">
        <v>3815</v>
      </c>
      <c r="O245" s="77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1:27" x14ac:dyDescent="0.25">
      <c r="A246" s="75"/>
      <c r="B246" s="30"/>
      <c r="C246" s="12"/>
      <c r="D246" s="12"/>
      <c r="E246" s="30"/>
      <c r="F246" s="88"/>
      <c r="G246" s="88"/>
      <c r="H246" s="30"/>
      <c r="I246" s="74"/>
      <c r="J246" s="84"/>
      <c r="K246" s="93">
        <v>90</v>
      </c>
      <c r="L246" s="93" t="s">
        <v>3932</v>
      </c>
      <c r="M246" s="94" t="s">
        <v>3933</v>
      </c>
      <c r="N246" s="95" t="s">
        <v>3934</v>
      </c>
      <c r="O246" s="77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1:27" x14ac:dyDescent="0.25">
      <c r="A247" s="75"/>
      <c r="B247" s="30"/>
      <c r="C247" s="12"/>
      <c r="D247" s="12"/>
      <c r="E247" s="30"/>
      <c r="F247" s="88"/>
      <c r="G247" s="88"/>
      <c r="H247" s="30"/>
      <c r="I247" s="74"/>
      <c r="J247" s="84"/>
      <c r="K247" s="93">
        <v>87</v>
      </c>
      <c r="L247" s="93" t="s">
        <v>3935</v>
      </c>
      <c r="M247" s="94" t="s">
        <v>3936</v>
      </c>
      <c r="N247" s="95" t="s">
        <v>3622</v>
      </c>
      <c r="O247" s="77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1:27" x14ac:dyDescent="0.25">
      <c r="A248" s="75"/>
      <c r="B248" s="30"/>
      <c r="C248" s="12"/>
      <c r="D248" s="12"/>
      <c r="E248" s="30"/>
      <c r="F248" s="88"/>
      <c r="G248" s="88"/>
      <c r="H248" s="30"/>
      <c r="I248" s="74"/>
      <c r="J248" s="84"/>
      <c r="K248" s="93">
        <v>86</v>
      </c>
      <c r="L248" s="93" t="s">
        <v>3937</v>
      </c>
      <c r="M248" s="94" t="s">
        <v>3938</v>
      </c>
      <c r="N248" s="95" t="s">
        <v>3583</v>
      </c>
      <c r="O248" s="77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1:27" x14ac:dyDescent="0.25">
      <c r="A249" s="75"/>
      <c r="B249" s="30"/>
      <c r="C249" s="12"/>
      <c r="D249" s="12"/>
      <c r="E249" s="30"/>
      <c r="F249" s="88"/>
      <c r="G249" s="88"/>
      <c r="H249" s="30"/>
      <c r="I249" s="74"/>
      <c r="J249" s="84"/>
      <c r="K249" s="93">
        <v>85</v>
      </c>
      <c r="L249" s="93" t="s">
        <v>3939</v>
      </c>
      <c r="M249" s="94" t="s">
        <v>3940</v>
      </c>
      <c r="N249" s="95" t="s">
        <v>3569</v>
      </c>
      <c r="O249" s="77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1:27" x14ac:dyDescent="0.25">
      <c r="A250" s="75"/>
      <c r="B250" s="30"/>
      <c r="C250" s="12"/>
      <c r="D250" s="12"/>
      <c r="E250" s="30"/>
      <c r="F250" s="88"/>
      <c r="G250" s="88"/>
      <c r="H250" s="30"/>
      <c r="I250" s="74"/>
      <c r="J250" s="84"/>
      <c r="K250" s="93">
        <v>84</v>
      </c>
      <c r="L250" s="93" t="s">
        <v>3941</v>
      </c>
      <c r="M250" s="94" t="s">
        <v>3942</v>
      </c>
      <c r="N250" s="95" t="s">
        <v>3844</v>
      </c>
      <c r="O250" s="77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1:27" x14ac:dyDescent="0.25">
      <c r="A251" s="75"/>
      <c r="B251" s="30"/>
      <c r="C251" s="12"/>
      <c r="D251" s="12"/>
      <c r="E251" s="30"/>
      <c r="F251" s="88"/>
      <c r="G251" s="88"/>
      <c r="H251" s="30"/>
      <c r="I251" s="74"/>
      <c r="J251" s="84"/>
      <c r="K251" s="93">
        <v>81</v>
      </c>
      <c r="L251" s="93" t="s">
        <v>3943</v>
      </c>
      <c r="M251" s="94" t="s">
        <v>3944</v>
      </c>
      <c r="N251" s="95" t="s">
        <v>3562</v>
      </c>
      <c r="O251" s="77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1:27" x14ac:dyDescent="0.25">
      <c r="A252" s="75"/>
      <c r="B252" s="30"/>
      <c r="C252" s="12"/>
      <c r="D252" s="12"/>
      <c r="E252" s="30"/>
      <c r="F252" s="88"/>
      <c r="G252" s="88"/>
      <c r="H252" s="30"/>
      <c r="I252" s="74"/>
      <c r="J252" s="84"/>
      <c r="K252" s="93">
        <v>79</v>
      </c>
      <c r="L252" s="93" t="s">
        <v>3945</v>
      </c>
      <c r="M252" s="94" t="s">
        <v>3946</v>
      </c>
      <c r="N252" s="95" t="s">
        <v>3571</v>
      </c>
      <c r="O252" s="77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1:27" x14ac:dyDescent="0.25">
      <c r="A253" s="75"/>
      <c r="B253" s="30"/>
      <c r="C253" s="12"/>
      <c r="D253" s="12"/>
      <c r="E253" s="30"/>
      <c r="F253" s="88"/>
      <c r="G253" s="88"/>
      <c r="H253" s="30"/>
      <c r="I253" s="74"/>
      <c r="J253" s="84"/>
      <c r="K253" s="93">
        <v>78</v>
      </c>
      <c r="L253" s="93" t="s">
        <v>3947</v>
      </c>
      <c r="M253" s="94" t="s">
        <v>3948</v>
      </c>
      <c r="N253" s="95" t="s">
        <v>3590</v>
      </c>
      <c r="O253" s="77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1:27" x14ac:dyDescent="0.25">
      <c r="A254" s="75"/>
      <c r="B254" s="30"/>
      <c r="C254" s="12"/>
      <c r="D254" s="12"/>
      <c r="E254" s="30"/>
      <c r="F254" s="88"/>
      <c r="G254" s="88"/>
      <c r="H254" s="30"/>
      <c r="I254" s="74"/>
      <c r="J254" s="84"/>
      <c r="K254" s="93">
        <v>70.2</v>
      </c>
      <c r="L254" s="93" t="s">
        <v>3949</v>
      </c>
      <c r="M254" s="94" t="s">
        <v>3950</v>
      </c>
      <c r="N254" s="95" t="s">
        <v>3729</v>
      </c>
      <c r="O254" s="77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1:27" x14ac:dyDescent="0.25">
      <c r="A255" s="75"/>
      <c r="B255" s="30"/>
      <c r="C255" s="12"/>
      <c r="D255" s="12"/>
      <c r="E255" s="30"/>
      <c r="F255" s="88"/>
      <c r="G255" s="88"/>
      <c r="H255" s="30"/>
      <c r="I255" s="74"/>
      <c r="J255" s="84"/>
      <c r="K255" s="93">
        <v>70.099999999999994</v>
      </c>
      <c r="L255" s="93" t="s">
        <v>3949</v>
      </c>
      <c r="M255" s="94" t="s">
        <v>3951</v>
      </c>
      <c r="N255" s="95" t="s">
        <v>3609</v>
      </c>
      <c r="O255" s="77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1:27" x14ac:dyDescent="0.25">
      <c r="A256" s="75"/>
      <c r="B256" s="30"/>
      <c r="C256" s="12"/>
      <c r="D256" s="12"/>
      <c r="E256" s="30"/>
      <c r="F256" s="88"/>
      <c r="G256" s="88"/>
      <c r="H256" s="30"/>
      <c r="I256" s="74"/>
      <c r="J256" s="84"/>
      <c r="K256" s="93">
        <v>66</v>
      </c>
      <c r="L256" s="93" t="s">
        <v>3952</v>
      </c>
      <c r="M256" s="94" t="s">
        <v>3953</v>
      </c>
      <c r="N256" s="95" t="s">
        <v>3562</v>
      </c>
      <c r="O256" s="77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1:27" x14ac:dyDescent="0.25">
      <c r="A257" s="75"/>
      <c r="B257" s="30"/>
      <c r="C257" s="12"/>
      <c r="D257" s="12"/>
      <c r="E257" s="30"/>
      <c r="F257" s="88"/>
      <c r="G257" s="88"/>
      <c r="H257" s="30"/>
      <c r="I257" s="74"/>
      <c r="J257" s="84"/>
      <c r="K257" s="93">
        <v>62</v>
      </c>
      <c r="L257" s="93" t="s">
        <v>3954</v>
      </c>
      <c r="M257" s="94" t="s">
        <v>3955</v>
      </c>
      <c r="N257" s="95" t="s">
        <v>3615</v>
      </c>
      <c r="O257" s="77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1:27" x14ac:dyDescent="0.25">
      <c r="A258" s="75"/>
      <c r="B258" s="30"/>
      <c r="C258" s="12"/>
      <c r="D258" s="12"/>
      <c r="E258" s="30"/>
      <c r="F258" s="88"/>
      <c r="G258" s="88"/>
      <c r="H258" s="30"/>
      <c r="I258" s="74"/>
      <c r="J258" s="84"/>
      <c r="K258" s="93">
        <v>55</v>
      </c>
      <c r="L258" s="93" t="s">
        <v>3956</v>
      </c>
      <c r="M258" s="94" t="s">
        <v>3957</v>
      </c>
      <c r="N258" s="95" t="s">
        <v>3868</v>
      </c>
      <c r="O258" s="77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1:27" x14ac:dyDescent="0.25">
      <c r="A259" s="75"/>
      <c r="B259" s="30"/>
      <c r="C259" s="12"/>
      <c r="D259" s="12"/>
      <c r="E259" s="30"/>
      <c r="F259" s="88"/>
      <c r="G259" s="88"/>
      <c r="H259" s="30"/>
      <c r="I259" s="74"/>
      <c r="J259" s="84"/>
      <c r="K259" s="93">
        <v>48</v>
      </c>
      <c r="L259" s="93" t="s">
        <v>3958</v>
      </c>
      <c r="M259" s="94" t="s">
        <v>3959</v>
      </c>
      <c r="N259" s="95" t="s">
        <v>3594</v>
      </c>
      <c r="O259" s="77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1:27" x14ac:dyDescent="0.25">
      <c r="A260" s="75"/>
      <c r="B260" s="30"/>
      <c r="C260" s="12"/>
      <c r="D260" s="12"/>
      <c r="E260" s="30"/>
      <c r="F260" s="88"/>
      <c r="G260" s="88"/>
      <c r="H260" s="30"/>
      <c r="I260" s="74"/>
      <c r="J260" s="84"/>
      <c r="K260" s="93">
        <v>42</v>
      </c>
      <c r="L260" s="93" t="s">
        <v>3960</v>
      </c>
      <c r="M260" s="94" t="s">
        <v>3961</v>
      </c>
      <c r="N260" s="95" t="s">
        <v>3558</v>
      </c>
      <c r="O260" s="77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1:27" x14ac:dyDescent="0.25">
      <c r="A261" s="75"/>
      <c r="B261" s="30"/>
      <c r="C261" s="12"/>
      <c r="D261" s="12"/>
      <c r="E261" s="30"/>
      <c r="F261" s="88"/>
      <c r="G261" s="88"/>
      <c r="H261" s="30"/>
      <c r="I261" s="74"/>
      <c r="J261" s="84"/>
      <c r="K261" s="93">
        <v>41</v>
      </c>
      <c r="L261" s="93" t="s">
        <v>3962</v>
      </c>
      <c r="M261" s="94" t="s">
        <v>3963</v>
      </c>
      <c r="N261" s="95" t="s">
        <v>3671</v>
      </c>
      <c r="O261" s="77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1:27" x14ac:dyDescent="0.25">
      <c r="A262" s="75"/>
      <c r="B262" s="30"/>
      <c r="C262" s="12"/>
      <c r="D262" s="12"/>
      <c r="E262" s="30"/>
      <c r="F262" s="88"/>
      <c r="G262" s="88"/>
      <c r="H262" s="30"/>
      <c r="I262" s="74"/>
      <c r="J262" s="84"/>
      <c r="K262" s="93">
        <v>30.2</v>
      </c>
      <c r="L262" s="93" t="s">
        <v>3964</v>
      </c>
      <c r="M262" s="94" t="s">
        <v>3965</v>
      </c>
      <c r="N262" s="95" t="s">
        <v>3729</v>
      </c>
      <c r="O262" s="77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1:27" x14ac:dyDescent="0.25">
      <c r="A263" s="75"/>
      <c r="B263" s="30"/>
      <c r="C263" s="12"/>
      <c r="D263" s="12"/>
      <c r="E263" s="30"/>
      <c r="F263" s="88"/>
      <c r="G263" s="88"/>
      <c r="H263" s="30"/>
      <c r="I263" s="74"/>
      <c r="J263" s="84"/>
      <c r="K263" s="93">
        <v>30.1</v>
      </c>
      <c r="L263" s="93" t="s">
        <v>3964</v>
      </c>
      <c r="M263" s="94" t="s">
        <v>3966</v>
      </c>
      <c r="N263" s="95" t="s">
        <v>3558</v>
      </c>
      <c r="O263" s="77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1:27" x14ac:dyDescent="0.25">
      <c r="A264" s="75"/>
      <c r="B264" s="30"/>
      <c r="C264" s="12"/>
      <c r="D264" s="12"/>
      <c r="E264" s="30"/>
      <c r="F264" s="88"/>
      <c r="G264" s="88"/>
      <c r="H264" s="30"/>
      <c r="I264" s="74"/>
      <c r="J264" s="84"/>
      <c r="K264" s="93">
        <v>29</v>
      </c>
      <c r="L264" s="93" t="s">
        <v>3967</v>
      </c>
      <c r="M264" s="94" t="s">
        <v>3968</v>
      </c>
      <c r="N264" s="95" t="s">
        <v>3580</v>
      </c>
      <c r="O264" s="77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1:27" x14ac:dyDescent="0.25">
      <c r="A265" s="75"/>
      <c r="B265" s="30"/>
      <c r="C265" s="12"/>
      <c r="D265" s="12"/>
      <c r="E265" s="30"/>
      <c r="F265" s="88"/>
      <c r="G265" s="88"/>
      <c r="H265" s="30"/>
      <c r="I265" s="74"/>
      <c r="J265" s="84"/>
      <c r="K265" s="93">
        <v>28</v>
      </c>
      <c r="L265" s="93" t="s">
        <v>3969</v>
      </c>
      <c r="M265" s="94" t="s">
        <v>3970</v>
      </c>
      <c r="N265" s="95" t="s">
        <v>3622</v>
      </c>
      <c r="O265" s="77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1:27" x14ac:dyDescent="0.25">
      <c r="A266" s="75"/>
      <c r="B266" s="30"/>
      <c r="C266" s="12"/>
      <c r="D266" s="12"/>
      <c r="E266" s="30"/>
      <c r="F266" s="88"/>
      <c r="G266" s="88"/>
      <c r="H266" s="30"/>
      <c r="I266" s="74"/>
      <c r="J266" s="84"/>
      <c r="K266" s="93">
        <v>21.2</v>
      </c>
      <c r="L266" s="93" t="s">
        <v>3971</v>
      </c>
      <c r="M266" s="94" t="s">
        <v>3972</v>
      </c>
      <c r="N266" s="95" t="s">
        <v>3615</v>
      </c>
      <c r="O266" s="77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1:27" x14ac:dyDescent="0.25">
      <c r="A267" s="75"/>
      <c r="B267" s="30"/>
      <c r="C267" s="12"/>
      <c r="D267" s="12"/>
      <c r="E267" s="30"/>
      <c r="F267" s="88"/>
      <c r="G267" s="88"/>
      <c r="H267" s="30"/>
      <c r="I267" s="74"/>
      <c r="J267" s="84"/>
      <c r="K267" s="93">
        <v>21.1</v>
      </c>
      <c r="L267" s="93" t="s">
        <v>3971</v>
      </c>
      <c r="M267" s="94" t="s">
        <v>3973</v>
      </c>
      <c r="N267" s="95" t="s">
        <v>3729</v>
      </c>
      <c r="O267" s="77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1:27" x14ac:dyDescent="0.25">
      <c r="A268" s="75"/>
      <c r="B268" s="30"/>
      <c r="C268" s="12"/>
      <c r="D268" s="12"/>
      <c r="E268" s="30"/>
      <c r="F268" s="88"/>
      <c r="G268" s="88"/>
      <c r="H268" s="30"/>
      <c r="I268" s="74"/>
      <c r="J268" s="84"/>
      <c r="K268" s="93">
        <v>21</v>
      </c>
      <c r="L268" s="93" t="s">
        <v>3971</v>
      </c>
      <c r="M268" s="94" t="s">
        <v>3974</v>
      </c>
      <c r="N268" s="95" t="s">
        <v>3729</v>
      </c>
      <c r="O268" s="77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1:27" x14ac:dyDescent="0.25">
      <c r="A269" s="88"/>
      <c r="B269" s="30"/>
      <c r="C269" s="30"/>
      <c r="D269" s="30"/>
      <c r="E269" s="30"/>
      <c r="F269" s="88"/>
      <c r="G269" s="88"/>
      <c r="H269" s="30"/>
      <c r="I269" s="96"/>
      <c r="J269" s="97"/>
      <c r="K269" s="93">
        <v>15</v>
      </c>
      <c r="L269" s="93" t="s">
        <v>3975</v>
      </c>
      <c r="M269" s="94" t="s">
        <v>3976</v>
      </c>
      <c r="N269" s="95" t="s">
        <v>3594</v>
      </c>
      <c r="O269" s="98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1:27" x14ac:dyDescent="0.25">
      <c r="A270" s="88"/>
      <c r="B270" s="30"/>
      <c r="C270" s="30"/>
      <c r="D270" s="30"/>
      <c r="E270" s="30"/>
      <c r="F270" s="88"/>
      <c r="G270" s="88"/>
      <c r="H270" s="30"/>
      <c r="I270" s="96"/>
      <c r="J270" s="97"/>
      <c r="K270" s="93">
        <v>14</v>
      </c>
      <c r="L270" s="93" t="s">
        <v>3977</v>
      </c>
      <c r="M270" s="94" t="s">
        <v>3978</v>
      </c>
      <c r="N270" s="95"/>
      <c r="O270" s="98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1:27" x14ac:dyDescent="0.25">
      <c r="A271" s="88"/>
      <c r="B271" s="30"/>
      <c r="C271" s="30"/>
      <c r="D271" s="30"/>
      <c r="E271" s="30"/>
      <c r="F271" s="88"/>
      <c r="G271" s="88"/>
      <c r="H271" s="30"/>
      <c r="I271" s="96"/>
      <c r="J271" s="97"/>
      <c r="K271" s="93">
        <v>12</v>
      </c>
      <c r="L271" s="93" t="s">
        <v>3979</v>
      </c>
      <c r="M271" s="94" t="s">
        <v>3980</v>
      </c>
      <c r="N271" s="95" t="s">
        <v>3555</v>
      </c>
      <c r="O271" s="98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1:27" x14ac:dyDescent="0.25">
      <c r="A272" s="88"/>
      <c r="B272" s="30"/>
      <c r="C272" s="30"/>
      <c r="D272" s="30"/>
      <c r="E272" s="30"/>
      <c r="F272" s="88"/>
      <c r="G272" s="88"/>
      <c r="H272" s="30"/>
      <c r="I272" s="96"/>
      <c r="J272" s="97"/>
      <c r="K272" s="93">
        <v>11.4</v>
      </c>
      <c r="L272" s="93" t="s">
        <v>3572</v>
      </c>
      <c r="M272" s="94" t="s">
        <v>3981</v>
      </c>
      <c r="N272" s="95" t="s">
        <v>3729</v>
      </c>
      <c r="O272" s="98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1:27" x14ac:dyDescent="0.25">
      <c r="A273" s="88"/>
      <c r="B273" s="30"/>
      <c r="C273" s="30"/>
      <c r="D273" s="30"/>
      <c r="E273" s="30"/>
      <c r="F273" s="88"/>
      <c r="G273" s="88"/>
      <c r="H273" s="30"/>
      <c r="I273" s="96"/>
      <c r="J273" s="97"/>
      <c r="K273" s="93">
        <v>11.3</v>
      </c>
      <c r="L273" s="93" t="s">
        <v>3572</v>
      </c>
      <c r="M273" s="94" t="s">
        <v>3982</v>
      </c>
      <c r="N273" s="95" t="s">
        <v>3588</v>
      </c>
      <c r="O273" s="98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1:27" x14ac:dyDescent="0.25">
      <c r="A274" s="88"/>
      <c r="B274" s="30"/>
      <c r="C274" s="30"/>
      <c r="D274" s="30"/>
      <c r="E274" s="30"/>
      <c r="F274" s="88"/>
      <c r="G274" s="88"/>
      <c r="H274" s="30"/>
      <c r="I274" s="96"/>
      <c r="J274" s="97"/>
      <c r="K274" s="93">
        <v>9</v>
      </c>
      <c r="L274" s="93" t="s">
        <v>3983</v>
      </c>
      <c r="M274" s="94" t="s">
        <v>3984</v>
      </c>
      <c r="N274" s="95" t="s">
        <v>3562</v>
      </c>
      <c r="O274" s="98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1:27" x14ac:dyDescent="0.25">
      <c r="A275" s="88"/>
      <c r="B275" s="30"/>
      <c r="C275" s="30"/>
      <c r="D275" s="30"/>
      <c r="E275" s="30"/>
      <c r="F275" s="88"/>
      <c r="G275" s="88"/>
      <c r="H275" s="30"/>
      <c r="I275" s="96"/>
      <c r="J275" s="97"/>
      <c r="K275" s="93">
        <v>5</v>
      </c>
      <c r="L275" s="93" t="s">
        <v>3985</v>
      </c>
      <c r="M275" s="94" t="s">
        <v>3986</v>
      </c>
      <c r="N275" s="95" t="s">
        <v>3615</v>
      </c>
      <c r="O275" s="98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1:27" x14ac:dyDescent="0.25">
      <c r="A276" s="88"/>
      <c r="B276" s="30"/>
      <c r="C276" s="30"/>
      <c r="D276" s="30"/>
      <c r="E276" s="30"/>
      <c r="F276" s="88"/>
      <c r="G276" s="88"/>
      <c r="H276" s="30"/>
      <c r="I276" s="96"/>
      <c r="J276" s="97"/>
      <c r="K276" s="93">
        <v>4</v>
      </c>
      <c r="L276" s="93" t="s">
        <v>3987</v>
      </c>
      <c r="M276" s="94" t="s">
        <v>3988</v>
      </c>
      <c r="N276" s="95" t="s">
        <v>3585</v>
      </c>
      <c r="O276" s="98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spans="1:27" x14ac:dyDescent="0.25">
      <c r="A277" s="88"/>
      <c r="B277" s="30"/>
      <c r="C277" s="30"/>
      <c r="D277" s="30"/>
      <c r="E277" s="30"/>
      <c r="F277" s="88"/>
      <c r="G277" s="88"/>
      <c r="H277" s="30"/>
      <c r="I277" s="96"/>
      <c r="J277" s="97"/>
      <c r="K277" s="93"/>
      <c r="L277" s="99"/>
      <c r="M277" s="100"/>
      <c r="N277" s="101"/>
      <c r="O277" s="98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spans="1:27" x14ac:dyDescent="0.25">
      <c r="A278" s="88"/>
      <c r="B278" s="30"/>
      <c r="C278" s="30"/>
      <c r="D278" s="30"/>
      <c r="E278" s="30"/>
      <c r="F278" s="88"/>
      <c r="G278" s="88"/>
      <c r="H278" s="30"/>
      <c r="I278" s="96"/>
      <c r="J278" s="97"/>
      <c r="K278" s="93"/>
      <c r="L278" s="99"/>
      <c r="M278" s="100"/>
      <c r="N278" s="101"/>
      <c r="O278" s="98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spans="1:27" x14ac:dyDescent="0.25">
      <c r="A279" s="88"/>
      <c r="B279" s="30"/>
      <c r="C279" s="30"/>
      <c r="D279" s="30"/>
      <c r="E279" s="30"/>
      <c r="F279" s="88"/>
      <c r="G279" s="88"/>
      <c r="H279" s="30"/>
      <c r="I279" s="96"/>
      <c r="J279" s="97"/>
      <c r="K279" s="102"/>
      <c r="L279" s="103"/>
      <c r="M279" s="104"/>
      <c r="N279" s="105"/>
      <c r="O279" s="98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spans="1:27" x14ac:dyDescent="0.25">
      <c r="A280" s="88"/>
      <c r="B280" s="30"/>
      <c r="C280" s="30"/>
      <c r="D280" s="30"/>
      <c r="E280" s="30"/>
      <c r="F280" s="88"/>
      <c r="G280" s="88"/>
      <c r="H280" s="30"/>
      <c r="I280" s="96"/>
      <c r="J280" s="97"/>
      <c r="K280" s="102"/>
      <c r="L280" s="103"/>
      <c r="M280" s="104"/>
      <c r="N280" s="105"/>
      <c r="O280" s="98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spans="1:27" x14ac:dyDescent="0.25">
      <c r="A281" s="88"/>
      <c r="B281" s="30"/>
      <c r="C281" s="30"/>
      <c r="D281" s="30"/>
      <c r="E281" s="30"/>
      <c r="F281" s="88"/>
      <c r="G281" s="88"/>
      <c r="H281" s="30"/>
      <c r="I281" s="96"/>
      <c r="J281" s="97"/>
      <c r="K281" s="102"/>
      <c r="L281" s="103"/>
      <c r="M281" s="104"/>
      <c r="N281" s="105"/>
      <c r="O281" s="98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spans="1:27" x14ac:dyDescent="0.25">
      <c r="A282" s="88"/>
      <c r="B282" s="30"/>
      <c r="C282" s="30"/>
      <c r="D282" s="30"/>
      <c r="E282" s="30"/>
      <c r="F282" s="88"/>
      <c r="G282" s="88"/>
      <c r="H282" s="30"/>
      <c r="I282" s="96"/>
      <c r="J282" s="97"/>
      <c r="K282" s="102"/>
      <c r="L282" s="103"/>
      <c r="M282" s="104"/>
      <c r="N282" s="105"/>
      <c r="O282" s="98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spans="1:27" x14ac:dyDescent="0.25">
      <c r="A283" s="88"/>
      <c r="B283" s="30"/>
      <c r="C283" s="30"/>
      <c r="D283" s="30"/>
      <c r="E283" s="30"/>
      <c r="F283" s="88"/>
      <c r="G283" s="88"/>
      <c r="H283" s="30"/>
      <c r="I283" s="96"/>
      <c r="J283" s="97"/>
      <c r="K283" s="102"/>
      <c r="L283" s="103"/>
      <c r="M283" s="104"/>
      <c r="N283" s="105"/>
      <c r="O283" s="98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spans="1:27" x14ac:dyDescent="0.25">
      <c r="A284" s="88"/>
      <c r="B284" s="30"/>
      <c r="C284" s="30"/>
      <c r="D284" s="30"/>
      <c r="E284" s="30"/>
      <c r="F284" s="88"/>
      <c r="G284" s="88"/>
      <c r="H284" s="30"/>
      <c r="I284" s="96"/>
      <c r="J284" s="97"/>
      <c r="K284" s="102"/>
      <c r="L284" s="103"/>
      <c r="M284" s="104"/>
      <c r="N284" s="105"/>
      <c r="O284" s="98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spans="1:27" x14ac:dyDescent="0.25">
      <c r="A285" s="88"/>
      <c r="B285" s="30"/>
      <c r="C285" s="30"/>
      <c r="D285" s="30"/>
      <c r="E285" s="30"/>
      <c r="F285" s="88"/>
      <c r="G285" s="88"/>
      <c r="H285" s="30"/>
      <c r="I285" s="96"/>
      <c r="J285" s="97"/>
      <c r="K285" s="102"/>
      <c r="L285" s="103"/>
      <c r="M285" s="104"/>
      <c r="N285" s="105"/>
      <c r="O285" s="98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spans="1:27" x14ac:dyDescent="0.25">
      <c r="A286" s="88"/>
      <c r="B286" s="30"/>
      <c r="C286" s="30"/>
      <c r="D286" s="30"/>
      <c r="E286" s="30"/>
      <c r="F286" s="88"/>
      <c r="G286" s="88"/>
      <c r="H286" s="30"/>
      <c r="I286" s="96"/>
      <c r="J286" s="97"/>
      <c r="K286" s="102"/>
      <c r="L286" s="103"/>
      <c r="M286" s="104"/>
      <c r="N286" s="105"/>
      <c r="O286" s="98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spans="1:27" x14ac:dyDescent="0.25">
      <c r="A287" s="88"/>
      <c r="B287" s="30"/>
      <c r="C287" s="30"/>
      <c r="D287" s="30"/>
      <c r="E287" s="30"/>
      <c r="F287" s="88"/>
      <c r="G287" s="88"/>
      <c r="H287" s="30"/>
      <c r="I287" s="96"/>
      <c r="J287" s="97"/>
      <c r="K287" s="102"/>
      <c r="L287" s="103"/>
      <c r="M287" s="104"/>
      <c r="N287" s="105"/>
      <c r="O287" s="98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spans="1:27" x14ac:dyDescent="0.25">
      <c r="A288" s="88"/>
      <c r="B288" s="30"/>
      <c r="C288" s="30"/>
      <c r="D288" s="30"/>
      <c r="E288" s="30"/>
      <c r="F288" s="88"/>
      <c r="G288" s="88"/>
      <c r="H288" s="30"/>
      <c r="I288" s="96"/>
      <c r="J288" s="97"/>
      <c r="K288" s="102"/>
      <c r="L288" s="103"/>
      <c r="M288" s="104"/>
      <c r="N288" s="105"/>
      <c r="O288" s="98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spans="1:27" x14ac:dyDescent="0.25">
      <c r="A289" s="88"/>
      <c r="B289" s="30"/>
      <c r="C289" s="30"/>
      <c r="D289" s="30"/>
      <c r="E289" s="30"/>
      <c r="F289" s="88"/>
      <c r="G289" s="88"/>
      <c r="H289" s="30"/>
      <c r="I289" s="96"/>
      <c r="J289" s="97"/>
      <c r="K289" s="102"/>
      <c r="L289" s="103"/>
      <c r="M289" s="104"/>
      <c r="N289" s="105"/>
      <c r="O289" s="98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spans="1:27" x14ac:dyDescent="0.25">
      <c r="A290" s="88"/>
      <c r="B290" s="30"/>
      <c r="C290" s="30"/>
      <c r="D290" s="30"/>
      <c r="E290" s="30"/>
      <c r="F290" s="88"/>
      <c r="G290" s="88"/>
      <c r="H290" s="30"/>
      <c r="I290" s="96"/>
      <c r="J290" s="97"/>
      <c r="K290" s="102"/>
      <c r="L290" s="103"/>
      <c r="M290" s="104"/>
      <c r="N290" s="105"/>
      <c r="O290" s="98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spans="1:27" x14ac:dyDescent="0.25">
      <c r="A291" s="88"/>
      <c r="B291" s="30"/>
      <c r="C291" s="30"/>
      <c r="D291" s="30"/>
      <c r="E291" s="30"/>
      <c r="F291" s="88"/>
      <c r="G291" s="88"/>
      <c r="H291" s="30"/>
      <c r="I291" s="96"/>
      <c r="J291" s="97"/>
      <c r="K291" s="102"/>
      <c r="L291" s="103"/>
      <c r="M291" s="104"/>
      <c r="N291" s="105"/>
      <c r="O291" s="98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spans="1:27" x14ac:dyDescent="0.25">
      <c r="A292" s="88"/>
      <c r="B292" s="30"/>
      <c r="C292" s="30"/>
      <c r="D292" s="30"/>
      <c r="E292" s="30"/>
      <c r="F292" s="88"/>
      <c r="G292" s="88"/>
      <c r="H292" s="30"/>
      <c r="I292" s="96"/>
      <c r="J292" s="97"/>
      <c r="K292" s="102"/>
      <c r="L292" s="103"/>
      <c r="M292" s="104"/>
      <c r="N292" s="105"/>
      <c r="O292" s="98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spans="1:27" x14ac:dyDescent="0.25">
      <c r="A293" s="88"/>
      <c r="B293" s="30"/>
      <c r="C293" s="30"/>
      <c r="D293" s="30"/>
      <c r="E293" s="30"/>
      <c r="F293" s="88"/>
      <c r="G293" s="88"/>
      <c r="H293" s="30"/>
      <c r="I293" s="96"/>
      <c r="J293" s="97"/>
      <c r="K293" s="102"/>
      <c r="L293" s="103"/>
      <c r="M293" s="104"/>
      <c r="N293" s="105"/>
      <c r="O293" s="98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spans="1:27" x14ac:dyDescent="0.25">
      <c r="A294" s="88"/>
      <c r="B294" s="30"/>
      <c r="C294" s="30"/>
      <c r="D294" s="30"/>
      <c r="E294" s="30"/>
      <c r="F294" s="88"/>
      <c r="G294" s="88"/>
      <c r="H294" s="30"/>
      <c r="I294" s="96"/>
      <c r="J294" s="97"/>
      <c r="K294" s="102"/>
      <c r="L294" s="103"/>
      <c r="M294" s="104"/>
      <c r="N294" s="105"/>
      <c r="O294" s="98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spans="1:27" x14ac:dyDescent="0.25">
      <c r="A295" s="88"/>
      <c r="B295" s="30"/>
      <c r="C295" s="30"/>
      <c r="D295" s="30"/>
      <c r="E295" s="30"/>
      <c r="F295" s="88"/>
      <c r="G295" s="88"/>
      <c r="H295" s="30"/>
      <c r="I295" s="96"/>
      <c r="J295" s="97"/>
      <c r="K295" s="102"/>
      <c r="L295" s="103"/>
      <c r="M295" s="104"/>
      <c r="N295" s="105"/>
      <c r="O295" s="98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spans="1:27" x14ac:dyDescent="0.25">
      <c r="A296" s="88"/>
      <c r="B296" s="30"/>
      <c r="C296" s="30"/>
      <c r="D296" s="30"/>
      <c r="E296" s="30"/>
      <c r="F296" s="88"/>
      <c r="G296" s="88"/>
      <c r="H296" s="30"/>
      <c r="I296" s="96"/>
      <c r="J296" s="97"/>
      <c r="K296" s="102"/>
      <c r="L296" s="103"/>
      <c r="M296" s="104"/>
      <c r="N296" s="105"/>
      <c r="O296" s="98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spans="1:27" x14ac:dyDescent="0.25">
      <c r="A297" s="88"/>
      <c r="B297" s="30"/>
      <c r="C297" s="30"/>
      <c r="D297" s="30"/>
      <c r="E297" s="30"/>
      <c r="F297" s="88"/>
      <c r="G297" s="88"/>
      <c r="H297" s="30"/>
      <c r="I297" s="96"/>
      <c r="J297" s="97"/>
      <c r="K297" s="102"/>
      <c r="L297" s="103"/>
      <c r="M297" s="104"/>
      <c r="N297" s="105"/>
      <c r="O297" s="98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spans="1:27" x14ac:dyDescent="0.25">
      <c r="A298" s="88"/>
      <c r="B298" s="30"/>
      <c r="C298" s="30"/>
      <c r="D298" s="30"/>
      <c r="E298" s="30"/>
      <c r="F298" s="88"/>
      <c r="G298" s="88"/>
      <c r="H298" s="30"/>
      <c r="I298" s="96"/>
      <c r="J298" s="97"/>
      <c r="K298" s="102"/>
      <c r="L298" s="103"/>
      <c r="M298" s="104"/>
      <c r="N298" s="105"/>
      <c r="O298" s="98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spans="1:27" x14ac:dyDescent="0.25">
      <c r="A299" s="88"/>
      <c r="B299" s="30"/>
      <c r="C299" s="30"/>
      <c r="D299" s="30"/>
      <c r="E299" s="30"/>
      <c r="F299" s="88"/>
      <c r="G299" s="88"/>
      <c r="H299" s="30"/>
      <c r="I299" s="96"/>
      <c r="J299" s="97"/>
      <c r="K299" s="102"/>
      <c r="L299" s="103"/>
      <c r="M299" s="104"/>
      <c r="N299" s="105"/>
      <c r="O299" s="98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spans="1:27" x14ac:dyDescent="0.25">
      <c r="A300" s="88"/>
      <c r="B300" s="30"/>
      <c r="C300" s="30"/>
      <c r="D300" s="30"/>
      <c r="E300" s="30"/>
      <c r="F300" s="88"/>
      <c r="G300" s="88"/>
      <c r="H300" s="30"/>
      <c r="I300" s="96"/>
      <c r="J300" s="97"/>
      <c r="K300" s="93">
        <v>333</v>
      </c>
      <c r="L300" s="93" t="s">
        <v>3989</v>
      </c>
      <c r="M300" s="94" t="s">
        <v>3990</v>
      </c>
      <c r="N300" s="95" t="s">
        <v>3991</v>
      </c>
      <c r="O300" s="98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spans="1:27" x14ac:dyDescent="0.25">
      <c r="A301" s="88"/>
      <c r="B301" s="30"/>
      <c r="C301" s="30"/>
      <c r="D301" s="30"/>
      <c r="E301" s="30"/>
      <c r="F301" s="88"/>
      <c r="G301" s="88"/>
      <c r="H301" s="30"/>
      <c r="I301" s="96"/>
      <c r="J301" s="97"/>
      <c r="K301" s="93">
        <v>298.10000000000002</v>
      </c>
      <c r="L301" s="93" t="s">
        <v>3992</v>
      </c>
      <c r="M301" s="94" t="s">
        <v>3993</v>
      </c>
      <c r="N301" s="95" t="s">
        <v>3729</v>
      </c>
      <c r="O301" s="98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spans="1:27" x14ac:dyDescent="0.25">
      <c r="A302" s="88"/>
      <c r="B302" s="30"/>
      <c r="C302" s="30"/>
      <c r="D302" s="30"/>
      <c r="E302" s="30"/>
      <c r="F302" s="88"/>
      <c r="G302" s="88"/>
      <c r="H302" s="30"/>
      <c r="I302" s="96"/>
      <c r="J302" s="97"/>
      <c r="K302" s="93">
        <v>248.1</v>
      </c>
      <c r="L302" s="93" t="s">
        <v>3994</v>
      </c>
      <c r="M302" s="94" t="s">
        <v>3995</v>
      </c>
      <c r="N302" s="95" t="s">
        <v>3558</v>
      </c>
      <c r="O302" s="98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spans="1:27" x14ac:dyDescent="0.25">
      <c r="A303" s="88"/>
      <c r="B303" s="30"/>
      <c r="C303" s="30"/>
      <c r="D303" s="30"/>
      <c r="E303" s="30"/>
      <c r="F303" s="88"/>
      <c r="G303" s="88"/>
      <c r="H303" s="30"/>
      <c r="I303" s="96"/>
      <c r="J303" s="97"/>
      <c r="K303" s="93">
        <v>246.1</v>
      </c>
      <c r="L303" s="93" t="s">
        <v>3996</v>
      </c>
      <c r="M303" s="94" t="s">
        <v>3997</v>
      </c>
      <c r="N303" s="95" t="s">
        <v>3558</v>
      </c>
      <c r="O303" s="98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spans="1:27" x14ac:dyDescent="0.25">
      <c r="A304" s="88"/>
      <c r="B304" s="30"/>
      <c r="C304" s="30"/>
      <c r="D304" s="30"/>
      <c r="E304" s="30"/>
      <c r="F304" s="88"/>
      <c r="G304" s="88"/>
      <c r="H304" s="30"/>
      <c r="I304" s="96"/>
      <c r="J304" s="97"/>
      <c r="K304" s="93">
        <v>332</v>
      </c>
      <c r="L304" s="93" t="s">
        <v>3998</v>
      </c>
      <c r="M304" s="94" t="s">
        <v>3999</v>
      </c>
      <c r="N304" s="95"/>
      <c r="O304" s="98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spans="1:27" x14ac:dyDescent="0.25">
      <c r="A305" s="88"/>
      <c r="B305" s="30"/>
      <c r="C305" s="30"/>
      <c r="D305" s="30"/>
      <c r="E305" s="30"/>
      <c r="F305" s="88"/>
      <c r="G305" s="88"/>
      <c r="H305" s="30"/>
      <c r="I305" s="96"/>
      <c r="J305" s="97"/>
      <c r="K305" s="93">
        <v>331</v>
      </c>
      <c r="L305" s="93" t="s">
        <v>4000</v>
      </c>
      <c r="M305" s="94" t="s">
        <v>4001</v>
      </c>
      <c r="N305" s="95" t="s">
        <v>3734</v>
      </c>
      <c r="O305" s="98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spans="1:27" x14ac:dyDescent="0.25">
      <c r="A306" s="88"/>
      <c r="B306" s="30"/>
      <c r="C306" s="30"/>
      <c r="D306" s="30"/>
      <c r="E306" s="30"/>
      <c r="F306" s="88"/>
      <c r="G306" s="88"/>
      <c r="H306" s="30"/>
      <c r="I306" s="96"/>
      <c r="J306" s="97"/>
      <c r="K306" s="93">
        <v>330</v>
      </c>
      <c r="L306" s="93" t="s">
        <v>4002</v>
      </c>
      <c r="M306" s="94" t="s">
        <v>4003</v>
      </c>
      <c r="N306" s="95" t="s">
        <v>3569</v>
      </c>
      <c r="O306" s="98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spans="1:27" x14ac:dyDescent="0.25">
      <c r="A307" s="88"/>
      <c r="B307" s="30"/>
      <c r="C307" s="30"/>
      <c r="D307" s="30"/>
      <c r="E307" s="30"/>
      <c r="F307" s="88"/>
      <c r="G307" s="88"/>
      <c r="H307" s="30"/>
      <c r="I307" s="96"/>
      <c r="J307" s="97"/>
      <c r="K307" s="93">
        <v>329</v>
      </c>
      <c r="L307" s="93" t="s">
        <v>4004</v>
      </c>
      <c r="M307" s="94" t="s">
        <v>4005</v>
      </c>
      <c r="N307" s="95" t="s">
        <v>3991</v>
      </c>
      <c r="O307" s="98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spans="1:27" x14ac:dyDescent="0.25">
      <c r="A308" s="88"/>
      <c r="B308" s="30"/>
      <c r="C308" s="30"/>
      <c r="D308" s="30"/>
      <c r="E308" s="30"/>
      <c r="F308" s="88"/>
      <c r="G308" s="88"/>
      <c r="H308" s="30"/>
      <c r="I308" s="96"/>
      <c r="J308" s="97"/>
      <c r="K308" s="93">
        <v>328</v>
      </c>
      <c r="L308" s="93" t="s">
        <v>4006</v>
      </c>
      <c r="M308" s="94" t="s">
        <v>4007</v>
      </c>
      <c r="N308" s="95"/>
      <c r="O308" s="98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spans="1:27" x14ac:dyDescent="0.25">
      <c r="A309" s="88"/>
      <c r="B309" s="30"/>
      <c r="C309" s="30"/>
      <c r="D309" s="30"/>
      <c r="E309" s="30"/>
      <c r="F309" s="88"/>
      <c r="G309" s="88"/>
      <c r="H309" s="30"/>
      <c r="I309" s="96"/>
      <c r="J309" s="97"/>
      <c r="K309" s="93">
        <v>327</v>
      </c>
      <c r="L309" s="93" t="s">
        <v>4008</v>
      </c>
      <c r="M309" s="94" t="s">
        <v>4009</v>
      </c>
      <c r="N309" s="95"/>
      <c r="O309" s="98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spans="1:27" x14ac:dyDescent="0.25">
      <c r="A310" s="88"/>
      <c r="B310" s="30"/>
      <c r="C310" s="30"/>
      <c r="D310" s="30"/>
      <c r="E310" s="30"/>
      <c r="F310" s="88"/>
      <c r="G310" s="88"/>
      <c r="H310" s="30"/>
      <c r="I310" s="96"/>
      <c r="J310" s="97"/>
      <c r="K310" s="93">
        <v>326</v>
      </c>
      <c r="L310" s="93" t="s">
        <v>4010</v>
      </c>
      <c r="M310" s="94" t="s">
        <v>4011</v>
      </c>
      <c r="N310" s="95" t="s">
        <v>3622</v>
      </c>
      <c r="O310" s="98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spans="1:27" x14ac:dyDescent="0.25">
      <c r="A311" s="88"/>
      <c r="B311" s="30"/>
      <c r="C311" s="30"/>
      <c r="D311" s="30"/>
      <c r="E311" s="30"/>
      <c r="F311" s="88"/>
      <c r="G311" s="88"/>
      <c r="H311" s="30"/>
      <c r="I311" s="96"/>
      <c r="J311" s="97"/>
      <c r="K311" s="93">
        <v>325</v>
      </c>
      <c r="L311" s="93" t="s">
        <v>4012</v>
      </c>
      <c r="M311" s="94" t="s">
        <v>4013</v>
      </c>
      <c r="N311" s="95" t="s">
        <v>3734</v>
      </c>
      <c r="O311" s="98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spans="1:27" x14ac:dyDescent="0.25">
      <c r="A312" s="88"/>
      <c r="B312" s="30"/>
      <c r="C312" s="30"/>
      <c r="D312" s="30"/>
      <c r="E312" s="30"/>
      <c r="F312" s="88"/>
      <c r="G312" s="88"/>
      <c r="H312" s="30"/>
      <c r="I312" s="96"/>
      <c r="J312" s="97"/>
      <c r="K312" s="93">
        <v>324</v>
      </c>
      <c r="L312" s="93" t="s">
        <v>4014</v>
      </c>
      <c r="M312" s="94" t="s">
        <v>4015</v>
      </c>
      <c r="N312" s="95" t="s">
        <v>3734</v>
      </c>
      <c r="O312" s="98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spans="1:27" x14ac:dyDescent="0.25">
      <c r="A313" s="88"/>
      <c r="B313" s="30"/>
      <c r="C313" s="30"/>
      <c r="D313" s="30"/>
      <c r="E313" s="30"/>
      <c r="F313" s="88"/>
      <c r="G313" s="88"/>
      <c r="H313" s="30"/>
      <c r="I313" s="96"/>
      <c r="J313" s="97"/>
      <c r="K313" s="93">
        <v>323</v>
      </c>
      <c r="L313" s="93" t="s">
        <v>4016</v>
      </c>
      <c r="M313" s="94" t="s">
        <v>4017</v>
      </c>
      <c r="N313" s="95" t="s">
        <v>3550</v>
      </c>
      <c r="O313" s="98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spans="1:27" x14ac:dyDescent="0.25">
      <c r="A314" s="88"/>
      <c r="B314" s="30"/>
      <c r="C314" s="30"/>
      <c r="D314" s="30"/>
      <c r="E314" s="30"/>
      <c r="F314" s="88"/>
      <c r="G314" s="88"/>
      <c r="H314" s="30"/>
      <c r="I314" s="96"/>
      <c r="J314" s="97"/>
      <c r="K314" s="93">
        <v>322</v>
      </c>
      <c r="L314" s="93" t="s">
        <v>4018</v>
      </c>
      <c r="M314" s="94" t="s">
        <v>4019</v>
      </c>
      <c r="N314" s="95" t="s">
        <v>3580</v>
      </c>
      <c r="O314" s="98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spans="1:27" x14ac:dyDescent="0.25">
      <c r="A315" s="88"/>
      <c r="B315" s="30"/>
      <c r="C315" s="30"/>
      <c r="D315" s="30"/>
      <c r="E315" s="30"/>
      <c r="F315" s="88"/>
      <c r="G315" s="88"/>
      <c r="H315" s="30"/>
      <c r="I315" s="96"/>
      <c r="J315" s="97"/>
      <c r="K315" s="93">
        <v>321</v>
      </c>
      <c r="L315" s="93" t="s">
        <v>4020</v>
      </c>
      <c r="M315" s="94" t="s">
        <v>4021</v>
      </c>
      <c r="N315" s="95" t="s">
        <v>3588</v>
      </c>
      <c r="O315" s="98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spans="1:27" x14ac:dyDescent="0.25">
      <c r="A316" s="88"/>
      <c r="B316" s="30"/>
      <c r="C316" s="30"/>
      <c r="D316" s="30"/>
      <c r="E316" s="30"/>
      <c r="F316" s="88"/>
      <c r="G316" s="88"/>
      <c r="H316" s="30"/>
      <c r="I316" s="96"/>
      <c r="J316" s="97"/>
      <c r="K316" s="93">
        <v>320</v>
      </c>
      <c r="L316" s="93" t="s">
        <v>4022</v>
      </c>
      <c r="M316" s="94" t="s">
        <v>4023</v>
      </c>
      <c r="N316" s="95" t="s">
        <v>3601</v>
      </c>
      <c r="O316" s="98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spans="1:27" x14ac:dyDescent="0.25">
      <c r="A317" s="88"/>
      <c r="B317" s="30"/>
      <c r="C317" s="30"/>
      <c r="D317" s="30"/>
      <c r="E317" s="30"/>
      <c r="F317" s="88"/>
      <c r="G317" s="88"/>
      <c r="H317" s="30"/>
      <c r="I317" s="96"/>
      <c r="J317" s="97"/>
      <c r="K317" s="93">
        <v>319</v>
      </c>
      <c r="L317" s="93" t="s">
        <v>4024</v>
      </c>
      <c r="M317" s="94" t="s">
        <v>4025</v>
      </c>
      <c r="N317" s="95" t="s">
        <v>3833</v>
      </c>
      <c r="O317" s="98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spans="1:27" x14ac:dyDescent="0.25">
      <c r="A318" s="88"/>
      <c r="B318" s="30"/>
      <c r="C318" s="30"/>
      <c r="D318" s="30"/>
      <c r="E318" s="30"/>
      <c r="F318" s="88"/>
      <c r="G318" s="88"/>
      <c r="H318" s="30"/>
      <c r="I318" s="96"/>
      <c r="J318" s="97"/>
      <c r="K318" s="93">
        <v>318</v>
      </c>
      <c r="L318" s="93" t="s">
        <v>4026</v>
      </c>
      <c r="M318" s="94" t="s">
        <v>4027</v>
      </c>
      <c r="N318" s="95" t="s">
        <v>3734</v>
      </c>
      <c r="O318" s="98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spans="1:27" x14ac:dyDescent="0.25">
      <c r="A319" s="88"/>
      <c r="B319" s="30"/>
      <c r="C319" s="30"/>
      <c r="D319" s="30"/>
      <c r="E319" s="30"/>
      <c r="F319" s="88"/>
      <c r="G319" s="88"/>
      <c r="H319" s="30"/>
      <c r="I319" s="96"/>
      <c r="J319" s="97"/>
      <c r="K319" s="93">
        <v>317</v>
      </c>
      <c r="L319" s="93" t="s">
        <v>4028</v>
      </c>
      <c r="M319" s="94" t="s">
        <v>4029</v>
      </c>
      <c r="N319" s="95" t="s">
        <v>3622</v>
      </c>
      <c r="O319" s="98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spans="1:27" x14ac:dyDescent="0.25">
      <c r="A320" s="88"/>
      <c r="B320" s="30"/>
      <c r="C320" s="30"/>
      <c r="D320" s="30"/>
      <c r="E320" s="30"/>
      <c r="F320" s="88"/>
      <c r="G320" s="88"/>
      <c r="H320" s="30"/>
      <c r="I320" s="96"/>
      <c r="J320" s="97"/>
      <c r="K320" s="93">
        <v>316.10000000000002</v>
      </c>
      <c r="L320" s="93" t="s">
        <v>4030</v>
      </c>
      <c r="M320" s="94" t="s">
        <v>4031</v>
      </c>
      <c r="N320" s="95" t="s">
        <v>3729</v>
      </c>
      <c r="O320" s="98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spans="1:27" x14ac:dyDescent="0.25">
      <c r="A321" s="88"/>
      <c r="B321" s="30"/>
      <c r="C321" s="30"/>
      <c r="D321" s="30"/>
      <c r="E321" s="30"/>
      <c r="F321" s="88"/>
      <c r="G321" s="88"/>
      <c r="H321" s="30"/>
      <c r="I321" s="96"/>
      <c r="J321" s="97"/>
      <c r="K321" s="93">
        <v>316</v>
      </c>
      <c r="L321" s="93" t="s">
        <v>4030</v>
      </c>
      <c r="M321" s="94" t="s">
        <v>4032</v>
      </c>
      <c r="N321" s="95" t="s">
        <v>3991</v>
      </c>
      <c r="O321" s="98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spans="1:27" x14ac:dyDescent="0.25">
      <c r="A322" s="88"/>
      <c r="B322" s="30"/>
      <c r="C322" s="30"/>
      <c r="D322" s="30"/>
      <c r="E322" s="30"/>
      <c r="F322" s="88"/>
      <c r="G322" s="88"/>
      <c r="H322" s="30"/>
      <c r="I322" s="96"/>
      <c r="J322" s="97"/>
      <c r="K322" s="93">
        <v>315</v>
      </c>
      <c r="L322" s="93" t="s">
        <v>4033</v>
      </c>
      <c r="M322" s="94" t="s">
        <v>4034</v>
      </c>
      <c r="N322" s="95" t="s">
        <v>3734</v>
      </c>
      <c r="O322" s="98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spans="1:27" x14ac:dyDescent="0.25">
      <c r="A323" s="88"/>
      <c r="B323" s="30"/>
      <c r="C323" s="30"/>
      <c r="D323" s="30"/>
      <c r="E323" s="30"/>
      <c r="F323" s="88"/>
      <c r="G323" s="88"/>
      <c r="H323" s="30"/>
      <c r="I323" s="96"/>
      <c r="J323" s="97"/>
      <c r="K323" s="93">
        <v>314</v>
      </c>
      <c r="L323" s="93" t="s">
        <v>4035</v>
      </c>
      <c r="M323" s="94" t="s">
        <v>4036</v>
      </c>
      <c r="N323" s="95" t="s">
        <v>3734</v>
      </c>
      <c r="O323" s="98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spans="1:27" x14ac:dyDescent="0.25">
      <c r="A324" s="88"/>
      <c r="B324" s="30"/>
      <c r="C324" s="30"/>
      <c r="D324" s="30"/>
      <c r="E324" s="30"/>
      <c r="F324" s="88"/>
      <c r="G324" s="88"/>
      <c r="H324" s="30"/>
      <c r="I324" s="96"/>
      <c r="J324" s="97"/>
      <c r="K324" s="93">
        <v>313</v>
      </c>
      <c r="L324" s="93" t="s">
        <v>4037</v>
      </c>
      <c r="M324" s="94" t="s">
        <v>4038</v>
      </c>
      <c r="N324" s="95" t="s">
        <v>3555</v>
      </c>
      <c r="O324" s="98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spans="1:27" x14ac:dyDescent="0.25">
      <c r="A325" s="88"/>
      <c r="B325" s="30"/>
      <c r="C325" s="30"/>
      <c r="D325" s="30"/>
      <c r="E325" s="30"/>
      <c r="F325" s="88"/>
      <c r="G325" s="88"/>
      <c r="H325" s="30"/>
      <c r="I325" s="96"/>
      <c r="J325" s="97"/>
      <c r="K325" s="93">
        <v>312</v>
      </c>
      <c r="L325" s="93" t="s">
        <v>4039</v>
      </c>
      <c r="M325" s="94" t="s">
        <v>4040</v>
      </c>
      <c r="N325" s="95"/>
      <c r="O325" s="98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spans="1:27" x14ac:dyDescent="0.25">
      <c r="A326" s="88"/>
      <c r="B326" s="30"/>
      <c r="C326" s="30"/>
      <c r="D326" s="30"/>
      <c r="E326" s="30"/>
      <c r="F326" s="88"/>
      <c r="G326" s="88"/>
      <c r="H326" s="30"/>
      <c r="I326" s="96"/>
      <c r="J326" s="97"/>
      <c r="K326" s="93">
        <v>311</v>
      </c>
      <c r="L326" s="93" t="s">
        <v>4041</v>
      </c>
      <c r="M326" s="94" t="s">
        <v>4042</v>
      </c>
      <c r="N326" s="95" t="s">
        <v>3553</v>
      </c>
      <c r="O326" s="98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spans="1:27" x14ac:dyDescent="0.25">
      <c r="A327" s="88"/>
      <c r="B327" s="30"/>
      <c r="C327" s="30"/>
      <c r="D327" s="30"/>
      <c r="E327" s="30"/>
      <c r="F327" s="88"/>
      <c r="G327" s="88"/>
      <c r="H327" s="30"/>
      <c r="I327" s="96"/>
      <c r="J327" s="97"/>
      <c r="K327" s="93">
        <v>310</v>
      </c>
      <c r="L327" s="93" t="s">
        <v>4043</v>
      </c>
      <c r="M327" s="94" t="s">
        <v>4044</v>
      </c>
      <c r="N327" s="95" t="s">
        <v>3991</v>
      </c>
      <c r="O327" s="98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spans="1:27" x14ac:dyDescent="0.25">
      <c r="A328" s="88"/>
      <c r="B328" s="30"/>
      <c r="C328" s="30"/>
      <c r="D328" s="30"/>
      <c r="E328" s="30"/>
      <c r="F328" s="88"/>
      <c r="G328" s="88"/>
      <c r="H328" s="30"/>
      <c r="I328" s="96"/>
      <c r="J328" s="97"/>
      <c r="K328" s="93">
        <v>309</v>
      </c>
      <c r="L328" s="93" t="s">
        <v>4045</v>
      </c>
      <c r="M328" s="94" t="s">
        <v>4046</v>
      </c>
      <c r="N328" s="95"/>
      <c r="O328" s="98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spans="1:27" x14ac:dyDescent="0.25">
      <c r="A329" s="88"/>
      <c r="B329" s="30"/>
      <c r="C329" s="30"/>
      <c r="D329" s="30"/>
      <c r="E329" s="30"/>
      <c r="F329" s="88"/>
      <c r="G329" s="88"/>
      <c r="H329" s="30"/>
      <c r="I329" s="96"/>
      <c r="J329" s="97"/>
      <c r="K329" s="93">
        <v>308</v>
      </c>
      <c r="L329" s="93" t="s">
        <v>4047</v>
      </c>
      <c r="M329" s="94" t="s">
        <v>4048</v>
      </c>
      <c r="N329" s="95" t="s">
        <v>3585</v>
      </c>
      <c r="O329" s="98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spans="1:27" x14ac:dyDescent="0.25">
      <c r="A330" s="88"/>
      <c r="B330" s="30"/>
      <c r="C330" s="30"/>
      <c r="D330" s="30"/>
      <c r="E330" s="30"/>
      <c r="F330" s="88"/>
      <c r="G330" s="88"/>
      <c r="H330" s="30"/>
      <c r="I330" s="96"/>
      <c r="J330" s="97"/>
      <c r="K330" s="93">
        <v>306</v>
      </c>
      <c r="L330" s="93" t="s">
        <v>4049</v>
      </c>
      <c r="M330" s="94" t="s">
        <v>4050</v>
      </c>
      <c r="N330" s="95" t="s">
        <v>3868</v>
      </c>
      <c r="O330" s="98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spans="1:27" x14ac:dyDescent="0.25">
      <c r="A331" s="88"/>
      <c r="B331" s="30"/>
      <c r="C331" s="30"/>
      <c r="D331" s="30"/>
      <c r="E331" s="30"/>
      <c r="F331" s="88"/>
      <c r="G331" s="88"/>
      <c r="H331" s="30"/>
      <c r="I331" s="96"/>
      <c r="J331" s="97"/>
      <c r="K331" s="93">
        <v>305</v>
      </c>
      <c r="L331" s="93" t="s">
        <v>4051</v>
      </c>
      <c r="M331" s="94" t="s">
        <v>4052</v>
      </c>
      <c r="N331" s="95" t="s">
        <v>3664</v>
      </c>
      <c r="O331" s="98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spans="1:27" x14ac:dyDescent="0.25">
      <c r="A332" s="88"/>
      <c r="B332" s="30"/>
      <c r="C332" s="30"/>
      <c r="D332" s="30"/>
      <c r="E332" s="30"/>
      <c r="F332" s="88"/>
      <c r="G332" s="88"/>
      <c r="H332" s="30"/>
      <c r="I332" s="96"/>
      <c r="J332" s="97"/>
      <c r="K332" s="93">
        <v>304</v>
      </c>
      <c r="L332" s="93" t="s">
        <v>4053</v>
      </c>
      <c r="M332" s="94" t="s">
        <v>4054</v>
      </c>
      <c r="N332" s="95" t="s">
        <v>3594</v>
      </c>
      <c r="O332" s="98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spans="1:27" x14ac:dyDescent="0.25">
      <c r="A333" s="88"/>
      <c r="B333" s="30"/>
      <c r="C333" s="30"/>
      <c r="D333" s="30"/>
      <c r="E333" s="30"/>
      <c r="F333" s="88"/>
      <c r="G333" s="88"/>
      <c r="H333" s="30"/>
      <c r="I333" s="96"/>
      <c r="J333" s="97"/>
      <c r="K333" s="93">
        <v>303</v>
      </c>
      <c r="L333" s="93" t="s">
        <v>4055</v>
      </c>
      <c r="M333" s="94" t="s">
        <v>4056</v>
      </c>
      <c r="N333" s="95" t="s">
        <v>3585</v>
      </c>
      <c r="O333" s="98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spans="1:27" x14ac:dyDescent="0.25">
      <c r="A334" s="88"/>
      <c r="B334" s="30"/>
      <c r="C334" s="30"/>
      <c r="D334" s="30"/>
      <c r="E334" s="30"/>
      <c r="F334" s="88"/>
      <c r="G334" s="88"/>
      <c r="H334" s="30"/>
      <c r="I334" s="96"/>
      <c r="J334" s="97"/>
      <c r="K334" s="93">
        <v>302</v>
      </c>
      <c r="L334" s="93" t="s">
        <v>4057</v>
      </c>
      <c r="M334" s="94" t="s">
        <v>4058</v>
      </c>
      <c r="N334" s="95" t="s">
        <v>3588</v>
      </c>
      <c r="O334" s="98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spans="1:27" x14ac:dyDescent="0.25">
      <c r="A335" s="88"/>
      <c r="B335" s="30"/>
      <c r="C335" s="30"/>
      <c r="D335" s="30"/>
      <c r="E335" s="30"/>
      <c r="F335" s="88"/>
      <c r="G335" s="88"/>
      <c r="H335" s="30"/>
      <c r="I335" s="96"/>
      <c r="J335" s="97"/>
      <c r="K335" s="93">
        <v>301</v>
      </c>
      <c r="L335" s="93" t="s">
        <v>4059</v>
      </c>
      <c r="M335" s="94" t="s">
        <v>4060</v>
      </c>
      <c r="N335" s="95" t="s">
        <v>3588</v>
      </c>
      <c r="O335" s="98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spans="1:27" x14ac:dyDescent="0.25">
      <c r="A336" s="88"/>
      <c r="B336" s="30"/>
      <c r="C336" s="30"/>
      <c r="D336" s="30"/>
      <c r="E336" s="30"/>
      <c r="F336" s="88"/>
      <c r="G336" s="88"/>
      <c r="H336" s="30"/>
      <c r="I336" s="96"/>
      <c r="J336" s="97"/>
      <c r="K336" s="93">
        <v>299</v>
      </c>
      <c r="L336" s="93" t="s">
        <v>4061</v>
      </c>
      <c r="M336" s="94" t="s">
        <v>4062</v>
      </c>
      <c r="N336" s="95" t="s">
        <v>3569</v>
      </c>
      <c r="O336" s="98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spans="1:27" x14ac:dyDescent="0.25">
      <c r="A337" s="88"/>
      <c r="B337" s="30"/>
      <c r="C337" s="30"/>
      <c r="D337" s="30"/>
      <c r="E337" s="30"/>
      <c r="F337" s="88"/>
      <c r="G337" s="88"/>
      <c r="H337" s="30"/>
      <c r="I337" s="96"/>
      <c r="J337" s="97"/>
      <c r="K337" s="93">
        <v>298</v>
      </c>
      <c r="L337" s="93" t="s">
        <v>3992</v>
      </c>
      <c r="M337" s="94" t="s">
        <v>4063</v>
      </c>
      <c r="N337" s="95" t="s">
        <v>3868</v>
      </c>
      <c r="O337" s="98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spans="1:27" x14ac:dyDescent="0.25">
      <c r="A338" s="88"/>
      <c r="B338" s="30"/>
      <c r="C338" s="30"/>
      <c r="D338" s="30"/>
      <c r="E338" s="30"/>
      <c r="F338" s="88"/>
      <c r="G338" s="88"/>
      <c r="H338" s="30"/>
      <c r="I338" s="96"/>
      <c r="J338" s="97"/>
      <c r="K338" s="93">
        <v>297</v>
      </c>
      <c r="L338" s="93" t="s">
        <v>4064</v>
      </c>
      <c r="M338" s="94" t="s">
        <v>4065</v>
      </c>
      <c r="N338" s="95" t="s">
        <v>3664</v>
      </c>
      <c r="O338" s="98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spans="1:27" x14ac:dyDescent="0.25">
      <c r="A339" s="88"/>
      <c r="B339" s="30"/>
      <c r="C339" s="30"/>
      <c r="D339" s="30"/>
      <c r="E339" s="30"/>
      <c r="F339" s="88"/>
      <c r="G339" s="88"/>
      <c r="H339" s="30"/>
      <c r="I339" s="96"/>
      <c r="J339" s="97"/>
      <c r="K339" s="93">
        <v>296</v>
      </c>
      <c r="L339" s="93" t="s">
        <v>4066</v>
      </c>
      <c r="M339" s="94" t="s">
        <v>4067</v>
      </c>
      <c r="N339" s="95" t="s">
        <v>4068</v>
      </c>
      <c r="O339" s="98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spans="1:27" x14ac:dyDescent="0.25">
      <c r="A340" s="88"/>
      <c r="B340" s="30"/>
      <c r="C340" s="30"/>
      <c r="D340" s="30"/>
      <c r="E340" s="30"/>
      <c r="F340" s="88"/>
      <c r="G340" s="88"/>
      <c r="H340" s="30"/>
      <c r="I340" s="96"/>
      <c r="J340" s="97"/>
      <c r="K340" s="93">
        <v>295</v>
      </c>
      <c r="L340" s="93" t="s">
        <v>4069</v>
      </c>
      <c r="M340" s="94" t="s">
        <v>4070</v>
      </c>
      <c r="N340" s="95" t="s">
        <v>3553</v>
      </c>
      <c r="O340" s="98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spans="1:27" x14ac:dyDescent="0.25">
      <c r="A341" s="88"/>
      <c r="B341" s="30"/>
      <c r="C341" s="30"/>
      <c r="D341" s="30"/>
      <c r="E341" s="30"/>
      <c r="F341" s="88"/>
      <c r="G341" s="88"/>
      <c r="H341" s="30"/>
      <c r="I341" s="96"/>
      <c r="J341" s="97"/>
      <c r="K341" s="93">
        <v>294</v>
      </c>
      <c r="L341" s="93" t="s">
        <v>4071</v>
      </c>
      <c r="M341" s="94" t="s">
        <v>4072</v>
      </c>
      <c r="N341" s="95" t="s">
        <v>3553</v>
      </c>
      <c r="O341" s="98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spans="1:27" x14ac:dyDescent="0.25">
      <c r="A342" s="88"/>
      <c r="B342" s="30"/>
      <c r="C342" s="30"/>
      <c r="D342" s="30"/>
      <c r="E342" s="30"/>
      <c r="F342" s="88"/>
      <c r="G342" s="88"/>
      <c r="H342" s="30"/>
      <c r="I342" s="96"/>
      <c r="J342" s="97"/>
      <c r="K342" s="93">
        <v>293</v>
      </c>
      <c r="L342" s="93" t="s">
        <v>4073</v>
      </c>
      <c r="M342" s="94" t="s">
        <v>4074</v>
      </c>
      <c r="N342" s="95" t="s">
        <v>3569</v>
      </c>
      <c r="O342" s="98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spans="1:27" x14ac:dyDescent="0.25">
      <c r="A343" s="88"/>
      <c r="B343" s="30"/>
      <c r="C343" s="30"/>
      <c r="D343" s="30"/>
      <c r="E343" s="30"/>
      <c r="F343" s="88"/>
      <c r="G343" s="88"/>
      <c r="H343" s="30"/>
      <c r="I343" s="96"/>
      <c r="J343" s="97"/>
      <c r="K343" s="93">
        <v>292</v>
      </c>
      <c r="L343" s="93" t="s">
        <v>4075</v>
      </c>
      <c r="M343" s="94" t="s">
        <v>4076</v>
      </c>
      <c r="N343" s="95" t="s">
        <v>4068</v>
      </c>
      <c r="O343" s="98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spans="1:27" x14ac:dyDescent="0.25">
      <c r="A344" s="88"/>
      <c r="B344" s="30"/>
      <c r="C344" s="30"/>
      <c r="D344" s="30"/>
      <c r="E344" s="30"/>
      <c r="F344" s="88"/>
      <c r="G344" s="88"/>
      <c r="H344" s="30"/>
      <c r="I344" s="96"/>
      <c r="J344" s="97"/>
      <c r="K344" s="93">
        <v>291</v>
      </c>
      <c r="L344" s="93" t="s">
        <v>4077</v>
      </c>
      <c r="M344" s="94" t="s">
        <v>4078</v>
      </c>
      <c r="N344" s="95" t="s">
        <v>3590</v>
      </c>
      <c r="O344" s="98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spans="1:27" x14ac:dyDescent="0.25">
      <c r="A345" s="88"/>
      <c r="B345" s="30"/>
      <c r="C345" s="30"/>
      <c r="D345" s="30"/>
      <c r="E345" s="30"/>
      <c r="F345" s="88"/>
      <c r="G345" s="88"/>
      <c r="H345" s="30"/>
      <c r="I345" s="96"/>
      <c r="J345" s="97"/>
      <c r="K345" s="93">
        <v>290.10000000000002</v>
      </c>
      <c r="L345" s="93" t="s">
        <v>4079</v>
      </c>
      <c r="M345" s="94" t="s">
        <v>4080</v>
      </c>
      <c r="N345" s="95" t="s">
        <v>3729</v>
      </c>
      <c r="O345" s="98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spans="1:27" x14ac:dyDescent="0.25">
      <c r="A346" s="88"/>
      <c r="B346" s="30"/>
      <c r="C346" s="30"/>
      <c r="D346" s="30"/>
      <c r="E346" s="30"/>
      <c r="F346" s="88"/>
      <c r="G346" s="88"/>
      <c r="H346" s="30"/>
      <c r="I346" s="96"/>
      <c r="J346" s="97"/>
      <c r="K346" s="93">
        <v>290</v>
      </c>
      <c r="L346" s="93" t="s">
        <v>4079</v>
      </c>
      <c r="M346" s="94" t="s">
        <v>4081</v>
      </c>
      <c r="N346" s="95" t="s">
        <v>3571</v>
      </c>
      <c r="O346" s="98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spans="1:27" x14ac:dyDescent="0.25">
      <c r="A347" s="88"/>
      <c r="B347" s="30"/>
      <c r="C347" s="30"/>
      <c r="D347" s="30"/>
      <c r="E347" s="30"/>
      <c r="F347" s="88"/>
      <c r="G347" s="88"/>
      <c r="H347" s="30"/>
      <c r="I347" s="96"/>
      <c r="J347" s="97"/>
      <c r="K347" s="93">
        <v>289</v>
      </c>
      <c r="L347" s="93" t="s">
        <v>4082</v>
      </c>
      <c r="M347" s="94" t="s">
        <v>4083</v>
      </c>
      <c r="N347" s="95" t="s">
        <v>3553</v>
      </c>
      <c r="O347" s="98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spans="1:27" x14ac:dyDescent="0.25">
      <c r="A348" s="88"/>
      <c r="B348" s="30"/>
      <c r="C348" s="30"/>
      <c r="D348" s="30"/>
      <c r="E348" s="30"/>
      <c r="F348" s="88"/>
      <c r="G348" s="88"/>
      <c r="H348" s="30"/>
      <c r="I348" s="96"/>
      <c r="J348" s="97"/>
      <c r="K348" s="93">
        <v>288</v>
      </c>
      <c r="L348" s="93" t="s">
        <v>4084</v>
      </c>
      <c r="M348" s="94" t="s">
        <v>4085</v>
      </c>
      <c r="N348" s="95" t="s">
        <v>3664</v>
      </c>
      <c r="O348" s="98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spans="1:27" x14ac:dyDescent="0.25">
      <c r="A349" s="88"/>
      <c r="B349" s="30"/>
      <c r="C349" s="30"/>
      <c r="D349" s="30"/>
      <c r="E349" s="30"/>
      <c r="F349" s="88"/>
      <c r="G349" s="88"/>
      <c r="H349" s="30"/>
      <c r="I349" s="96"/>
      <c r="J349" s="97"/>
      <c r="K349" s="93">
        <v>287</v>
      </c>
      <c r="L349" s="93" t="s">
        <v>4086</v>
      </c>
      <c r="M349" s="94" t="s">
        <v>4087</v>
      </c>
      <c r="N349" s="95" t="s">
        <v>3664</v>
      </c>
      <c r="O349" s="98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spans="1:27" x14ac:dyDescent="0.25">
      <c r="A350" s="88"/>
      <c r="B350" s="30"/>
      <c r="C350" s="30"/>
      <c r="D350" s="30"/>
      <c r="E350" s="30"/>
      <c r="F350" s="88"/>
      <c r="G350" s="88"/>
      <c r="H350" s="30"/>
      <c r="I350" s="96"/>
      <c r="J350" s="97"/>
      <c r="K350" s="93">
        <v>286</v>
      </c>
      <c r="L350" s="93" t="s">
        <v>4088</v>
      </c>
      <c r="M350" s="94" t="s">
        <v>4089</v>
      </c>
      <c r="N350" s="95" t="s">
        <v>3588</v>
      </c>
      <c r="O350" s="98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spans="1:27" x14ac:dyDescent="0.25">
      <c r="A351" s="88"/>
      <c r="B351" s="30"/>
      <c r="C351" s="30"/>
      <c r="D351" s="30"/>
      <c r="E351" s="30"/>
      <c r="F351" s="88"/>
      <c r="G351" s="88"/>
      <c r="H351" s="30"/>
      <c r="I351" s="96"/>
      <c r="J351" s="97"/>
      <c r="K351" s="93">
        <v>285</v>
      </c>
      <c r="L351" s="93" t="s">
        <v>4090</v>
      </c>
      <c r="M351" s="94" t="s">
        <v>4091</v>
      </c>
      <c r="N351" s="95" t="s">
        <v>3664</v>
      </c>
      <c r="O351" s="98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spans="1:27" x14ac:dyDescent="0.25">
      <c r="A352" s="88"/>
      <c r="B352" s="30"/>
      <c r="C352" s="30"/>
      <c r="D352" s="30"/>
      <c r="E352" s="30"/>
      <c r="F352" s="88"/>
      <c r="G352" s="88"/>
      <c r="H352" s="30"/>
      <c r="I352" s="96"/>
      <c r="J352" s="97"/>
      <c r="K352" s="93">
        <v>284</v>
      </c>
      <c r="L352" s="93" t="s">
        <v>4092</v>
      </c>
      <c r="M352" s="94" t="s">
        <v>4093</v>
      </c>
      <c r="N352" s="95" t="s">
        <v>3615</v>
      </c>
      <c r="O352" s="98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spans="1:27" x14ac:dyDescent="0.25">
      <c r="A353" s="88"/>
      <c r="B353" s="30"/>
      <c r="C353" s="30"/>
      <c r="D353" s="30"/>
      <c r="E353" s="30"/>
      <c r="F353" s="88"/>
      <c r="G353" s="88"/>
      <c r="H353" s="30"/>
      <c r="I353" s="96"/>
      <c r="J353" s="97"/>
      <c r="K353" s="93">
        <v>283.10000000000002</v>
      </c>
      <c r="L353" s="93" t="s">
        <v>4094</v>
      </c>
      <c r="M353" s="94" t="s">
        <v>4095</v>
      </c>
      <c r="N353" s="95" t="s">
        <v>3729</v>
      </c>
      <c r="O353" s="98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spans="1:27" x14ac:dyDescent="0.25">
      <c r="A354" s="88"/>
      <c r="B354" s="30"/>
      <c r="C354" s="30"/>
      <c r="D354" s="30"/>
      <c r="E354" s="30"/>
      <c r="F354" s="88"/>
      <c r="G354" s="88"/>
      <c r="H354" s="30"/>
      <c r="I354" s="96"/>
      <c r="J354" s="97"/>
      <c r="K354" s="93">
        <v>283</v>
      </c>
      <c r="L354" s="93" t="s">
        <v>4094</v>
      </c>
      <c r="M354" s="94" t="s">
        <v>4096</v>
      </c>
      <c r="N354" s="95" t="s">
        <v>3562</v>
      </c>
      <c r="O354" s="98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spans="1:27" x14ac:dyDescent="0.25">
      <c r="A355" s="88"/>
      <c r="B355" s="30"/>
      <c r="C355" s="30"/>
      <c r="D355" s="30"/>
      <c r="E355" s="30"/>
      <c r="F355" s="88"/>
      <c r="G355" s="88"/>
      <c r="H355" s="30"/>
      <c r="I355" s="96"/>
      <c r="J355" s="97"/>
      <c r="K355" s="93">
        <v>282</v>
      </c>
      <c r="L355" s="93" t="s">
        <v>4097</v>
      </c>
      <c r="M355" s="94" t="s">
        <v>4098</v>
      </c>
      <c r="N355" s="95" t="s">
        <v>4068</v>
      </c>
      <c r="O355" s="98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spans="1:27" x14ac:dyDescent="0.25">
      <c r="A356" s="88"/>
      <c r="B356" s="30"/>
      <c r="C356" s="30"/>
      <c r="D356" s="30"/>
      <c r="E356" s="30"/>
      <c r="F356" s="88"/>
      <c r="G356" s="88"/>
      <c r="H356" s="30"/>
      <c r="I356" s="96"/>
      <c r="J356" s="97"/>
      <c r="K356" s="93">
        <v>281</v>
      </c>
      <c r="L356" s="93" t="s">
        <v>4099</v>
      </c>
      <c r="M356" s="94" t="s">
        <v>4100</v>
      </c>
      <c r="N356" s="95" t="s">
        <v>3590</v>
      </c>
      <c r="O356" s="98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spans="1:27" x14ac:dyDescent="0.25">
      <c r="A357" s="88"/>
      <c r="B357" s="30"/>
      <c r="C357" s="30"/>
      <c r="D357" s="30"/>
      <c r="E357" s="30"/>
      <c r="F357" s="88"/>
      <c r="G357" s="88"/>
      <c r="H357" s="30"/>
      <c r="I357" s="96"/>
      <c r="J357" s="97"/>
      <c r="K357" s="93">
        <v>280.10000000000002</v>
      </c>
      <c r="L357" s="93" t="s">
        <v>4101</v>
      </c>
      <c r="M357" s="94" t="s">
        <v>4102</v>
      </c>
      <c r="N357" s="95" t="s">
        <v>3729</v>
      </c>
      <c r="O357" s="98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spans="1:27" x14ac:dyDescent="0.25">
      <c r="A358" s="88"/>
      <c r="B358" s="30"/>
      <c r="C358" s="30"/>
      <c r="D358" s="30"/>
      <c r="E358" s="30"/>
      <c r="F358" s="88"/>
      <c r="G358" s="88"/>
      <c r="H358" s="30"/>
      <c r="I358" s="96"/>
      <c r="J358" s="97"/>
      <c r="K358" s="93">
        <v>280</v>
      </c>
      <c r="L358" s="93" t="s">
        <v>4101</v>
      </c>
      <c r="M358" s="94" t="s">
        <v>4103</v>
      </c>
      <c r="N358" s="95" t="s">
        <v>3583</v>
      </c>
      <c r="O358" s="98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spans="1:27" x14ac:dyDescent="0.25">
      <c r="A359" s="88"/>
      <c r="B359" s="30"/>
      <c r="C359" s="30"/>
      <c r="D359" s="30"/>
      <c r="E359" s="30"/>
      <c r="F359" s="88"/>
      <c r="G359" s="88"/>
      <c r="H359" s="30"/>
      <c r="I359" s="96"/>
      <c r="J359" s="97"/>
      <c r="K359" s="93">
        <v>279</v>
      </c>
      <c r="L359" s="93" t="s">
        <v>4104</v>
      </c>
      <c r="M359" s="94" t="s">
        <v>4105</v>
      </c>
      <c r="N359" s="95" t="s">
        <v>3569</v>
      </c>
      <c r="O359" s="98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spans="1:27" x14ac:dyDescent="0.25">
      <c r="A360" s="88"/>
      <c r="B360" s="30"/>
      <c r="C360" s="30"/>
      <c r="D360" s="30"/>
      <c r="E360" s="30"/>
      <c r="F360" s="88"/>
      <c r="G360" s="88"/>
      <c r="H360" s="30"/>
      <c r="I360" s="96"/>
      <c r="J360" s="97"/>
      <c r="K360" s="93">
        <v>278</v>
      </c>
      <c r="L360" s="93" t="s">
        <v>4106</v>
      </c>
      <c r="M360" s="94" t="s">
        <v>4107</v>
      </c>
      <c r="N360" s="95" t="s">
        <v>3562</v>
      </c>
      <c r="O360" s="98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spans="1:27" x14ac:dyDescent="0.25">
      <c r="A361" s="88"/>
      <c r="B361" s="30"/>
      <c r="C361" s="30"/>
      <c r="D361" s="30"/>
      <c r="E361" s="30"/>
      <c r="F361" s="88"/>
      <c r="G361" s="88"/>
      <c r="H361" s="30"/>
      <c r="I361" s="96"/>
      <c r="J361" s="97"/>
      <c r="K361" s="93">
        <v>277</v>
      </c>
      <c r="L361" s="93" t="s">
        <v>4108</v>
      </c>
      <c r="M361" s="94" t="s">
        <v>3729</v>
      </c>
      <c r="N361" s="95" t="s">
        <v>3664</v>
      </c>
      <c r="O361" s="98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spans="1:27" x14ac:dyDescent="0.25">
      <c r="A362" s="88"/>
      <c r="B362" s="30"/>
      <c r="C362" s="30"/>
      <c r="D362" s="30"/>
      <c r="E362" s="30"/>
      <c r="F362" s="88"/>
      <c r="G362" s="88"/>
      <c r="H362" s="30"/>
      <c r="I362" s="96"/>
      <c r="J362" s="97"/>
      <c r="K362" s="93">
        <v>275</v>
      </c>
      <c r="L362" s="93" t="s">
        <v>4109</v>
      </c>
      <c r="M362" s="94" t="s">
        <v>4110</v>
      </c>
      <c r="N362" s="95" t="s">
        <v>3664</v>
      </c>
      <c r="O362" s="98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spans="1:27" x14ac:dyDescent="0.25">
      <c r="A363" s="88"/>
      <c r="B363" s="30"/>
      <c r="C363" s="30"/>
      <c r="D363" s="30"/>
      <c r="E363" s="30"/>
      <c r="F363" s="88"/>
      <c r="G363" s="88"/>
      <c r="H363" s="30"/>
      <c r="I363" s="96"/>
      <c r="J363" s="97"/>
      <c r="K363" s="93">
        <v>274</v>
      </c>
      <c r="L363" s="93" t="s">
        <v>4111</v>
      </c>
      <c r="M363" s="94" t="s">
        <v>4112</v>
      </c>
      <c r="N363" s="95" t="s">
        <v>3664</v>
      </c>
      <c r="O363" s="98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spans="1:27" x14ac:dyDescent="0.25">
      <c r="A364" s="88"/>
      <c r="B364" s="30"/>
      <c r="C364" s="30"/>
      <c r="D364" s="30"/>
      <c r="E364" s="30"/>
      <c r="F364" s="88"/>
      <c r="G364" s="88"/>
      <c r="H364" s="30"/>
      <c r="I364" s="96"/>
      <c r="J364" s="97"/>
      <c r="K364" s="93">
        <v>272</v>
      </c>
      <c r="L364" s="93" t="s">
        <v>3674</v>
      </c>
      <c r="M364" s="94" t="s">
        <v>3675</v>
      </c>
      <c r="N364" s="95" t="s">
        <v>3585</v>
      </c>
      <c r="O364" s="98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spans="1:27" x14ac:dyDescent="0.25">
      <c r="A365" s="88"/>
      <c r="B365" s="30"/>
      <c r="C365" s="30"/>
      <c r="D365" s="30"/>
      <c r="E365" s="30"/>
      <c r="F365" s="88"/>
      <c r="G365" s="88"/>
      <c r="H365" s="30"/>
      <c r="I365" s="96"/>
      <c r="J365" s="97"/>
      <c r="K365" s="93">
        <v>271</v>
      </c>
      <c r="L365" s="93" t="s">
        <v>4113</v>
      </c>
      <c r="M365" s="94" t="s">
        <v>4114</v>
      </c>
      <c r="N365" s="95" t="s">
        <v>3664</v>
      </c>
      <c r="O365" s="98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spans="1:27" x14ac:dyDescent="0.25">
      <c r="A366" s="88"/>
      <c r="B366" s="30"/>
      <c r="C366" s="30"/>
      <c r="D366" s="30"/>
      <c r="E366" s="30"/>
      <c r="F366" s="88"/>
      <c r="G366" s="88"/>
      <c r="H366" s="30"/>
      <c r="I366" s="96"/>
      <c r="J366" s="97"/>
      <c r="K366" s="93">
        <v>269</v>
      </c>
      <c r="L366" s="93" t="s">
        <v>4115</v>
      </c>
      <c r="M366" s="94" t="s">
        <v>4116</v>
      </c>
      <c r="N366" s="95" t="s">
        <v>3868</v>
      </c>
      <c r="O366" s="98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spans="1:27" x14ac:dyDescent="0.25">
      <c r="A367" s="88"/>
      <c r="B367" s="30"/>
      <c r="C367" s="30"/>
      <c r="D367" s="30"/>
      <c r="E367" s="30"/>
      <c r="F367" s="88"/>
      <c r="G367" s="88"/>
      <c r="H367" s="30"/>
      <c r="I367" s="96"/>
      <c r="J367" s="97"/>
      <c r="K367" s="93">
        <v>265</v>
      </c>
      <c r="L367" s="93" t="s">
        <v>3678</v>
      </c>
      <c r="M367" s="94" t="s">
        <v>3679</v>
      </c>
      <c r="N367" s="95" t="s">
        <v>3590</v>
      </c>
      <c r="O367" s="98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spans="1:27" x14ac:dyDescent="0.25">
      <c r="A368" s="88"/>
      <c r="B368" s="30"/>
      <c r="C368" s="30"/>
      <c r="D368" s="30"/>
      <c r="E368" s="30"/>
      <c r="F368" s="88"/>
      <c r="G368" s="88"/>
      <c r="H368" s="30"/>
      <c r="I368" s="96"/>
      <c r="J368" s="97"/>
      <c r="K368" s="93">
        <v>264</v>
      </c>
      <c r="L368" s="93" t="s">
        <v>4117</v>
      </c>
      <c r="M368" s="94" t="s">
        <v>4118</v>
      </c>
      <c r="N368" s="95" t="s">
        <v>3615</v>
      </c>
      <c r="O368" s="98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spans="1:27" x14ac:dyDescent="0.25">
      <c r="A369" s="88"/>
      <c r="B369" s="30"/>
      <c r="C369" s="30"/>
      <c r="D369" s="30"/>
      <c r="E369" s="30"/>
      <c r="F369" s="88"/>
      <c r="G369" s="88"/>
      <c r="H369" s="30"/>
      <c r="I369" s="96"/>
      <c r="J369" s="97"/>
      <c r="K369" s="93">
        <v>263</v>
      </c>
      <c r="L369" s="93" t="s">
        <v>4119</v>
      </c>
      <c r="M369" s="94" t="s">
        <v>4120</v>
      </c>
      <c r="N369" s="95" t="s">
        <v>3594</v>
      </c>
      <c r="O369" s="98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spans="1:27" x14ac:dyDescent="0.25">
      <c r="A370" s="88"/>
      <c r="B370" s="30"/>
      <c r="C370" s="30"/>
      <c r="D370" s="30"/>
      <c r="E370" s="30"/>
      <c r="F370" s="88"/>
      <c r="G370" s="88"/>
      <c r="H370" s="30"/>
      <c r="I370" s="96"/>
      <c r="J370" s="97"/>
      <c r="K370" s="93">
        <v>262</v>
      </c>
      <c r="L370" s="93" t="s">
        <v>4121</v>
      </c>
      <c r="M370" s="94" t="s">
        <v>4122</v>
      </c>
      <c r="N370" s="95" t="s">
        <v>3571</v>
      </c>
      <c r="O370" s="98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spans="1:27" x14ac:dyDescent="0.25">
      <c r="A371" s="88"/>
      <c r="B371" s="30"/>
      <c r="C371" s="30"/>
      <c r="D371" s="30"/>
      <c r="E371" s="30"/>
      <c r="F371" s="88"/>
      <c r="G371" s="88"/>
      <c r="H371" s="30"/>
      <c r="I371" s="96"/>
      <c r="J371" s="97"/>
      <c r="K371" s="93">
        <v>259.10000000000002</v>
      </c>
      <c r="L371" s="93" t="s">
        <v>4123</v>
      </c>
      <c r="M371" s="94" t="s">
        <v>4124</v>
      </c>
      <c r="N371" s="95" t="s">
        <v>3729</v>
      </c>
      <c r="O371" s="98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spans="1:27" x14ac:dyDescent="0.25">
      <c r="A372" s="88"/>
      <c r="B372" s="30"/>
      <c r="C372" s="30"/>
      <c r="D372" s="30"/>
      <c r="E372" s="30"/>
      <c r="F372" s="88"/>
      <c r="G372" s="88"/>
      <c r="H372" s="30"/>
      <c r="I372" s="96"/>
      <c r="J372" s="97"/>
      <c r="K372" s="93">
        <v>259</v>
      </c>
      <c r="L372" s="93" t="s">
        <v>4123</v>
      </c>
      <c r="M372" s="94" t="s">
        <v>4125</v>
      </c>
      <c r="N372" s="95" t="s">
        <v>3815</v>
      </c>
      <c r="O372" s="98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spans="1:27" x14ac:dyDescent="0.25">
      <c r="A373" s="88"/>
      <c r="B373" s="30"/>
      <c r="C373" s="30"/>
      <c r="D373" s="30"/>
      <c r="E373" s="30"/>
      <c r="F373" s="88"/>
      <c r="G373" s="88"/>
      <c r="H373" s="30"/>
      <c r="I373" s="96"/>
      <c r="J373" s="97"/>
      <c r="K373" s="93">
        <v>257</v>
      </c>
      <c r="L373" s="93" t="s">
        <v>4126</v>
      </c>
      <c r="M373" s="94" t="s">
        <v>4127</v>
      </c>
      <c r="N373" s="95" t="s">
        <v>3580</v>
      </c>
      <c r="O373" s="98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spans="1:27" x14ac:dyDescent="0.25">
      <c r="A374" s="88"/>
      <c r="B374" s="30"/>
      <c r="C374" s="30"/>
      <c r="D374" s="30"/>
      <c r="E374" s="30"/>
      <c r="F374" s="88"/>
      <c r="G374" s="88"/>
      <c r="H374" s="30"/>
      <c r="I374" s="96"/>
      <c r="J374" s="97"/>
      <c r="K374" s="93">
        <v>255</v>
      </c>
      <c r="L374" s="93" t="s">
        <v>4128</v>
      </c>
      <c r="M374" s="94" t="s">
        <v>4129</v>
      </c>
      <c r="N374" s="95" t="s">
        <v>3868</v>
      </c>
      <c r="O374" s="98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spans="1:27" x14ac:dyDescent="0.25">
      <c r="A375" s="88"/>
      <c r="B375" s="30"/>
      <c r="C375" s="30"/>
      <c r="D375" s="30"/>
      <c r="E375" s="30"/>
      <c r="F375" s="88"/>
      <c r="G375" s="88"/>
      <c r="H375" s="30"/>
      <c r="I375" s="96"/>
      <c r="J375" s="97"/>
      <c r="K375" s="93">
        <v>254</v>
      </c>
      <c r="L375" s="93" t="s">
        <v>4130</v>
      </c>
      <c r="M375" s="94" t="s">
        <v>4131</v>
      </c>
      <c r="N375" s="95" t="s">
        <v>3583</v>
      </c>
      <c r="O375" s="98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spans="1:27" x14ac:dyDescent="0.25">
      <c r="A376" s="88"/>
      <c r="B376" s="30"/>
      <c r="C376" s="30"/>
      <c r="D376" s="30"/>
      <c r="E376" s="30"/>
      <c r="F376" s="88"/>
      <c r="G376" s="88"/>
      <c r="H376" s="30"/>
      <c r="I376" s="96"/>
      <c r="J376" s="97"/>
      <c r="K376" s="93">
        <v>253</v>
      </c>
      <c r="L376" s="93" t="s">
        <v>4132</v>
      </c>
      <c r="M376" s="94" t="s">
        <v>4133</v>
      </c>
      <c r="N376" s="95" t="s">
        <v>3594</v>
      </c>
      <c r="O376" s="98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spans="1:27" x14ac:dyDescent="0.25">
      <c r="A377" s="88"/>
      <c r="B377" s="30"/>
      <c r="C377" s="30"/>
      <c r="D377" s="30"/>
      <c r="E377" s="30"/>
      <c r="F377" s="88"/>
      <c r="G377" s="88"/>
      <c r="H377" s="30"/>
      <c r="I377" s="96"/>
      <c r="J377" s="97"/>
      <c r="K377" s="93">
        <v>252</v>
      </c>
      <c r="L377" s="93" t="s">
        <v>4134</v>
      </c>
      <c r="M377" s="94" t="s">
        <v>4135</v>
      </c>
      <c r="N377" s="95" t="s">
        <v>3562</v>
      </c>
      <c r="O377" s="98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spans="1:27" x14ac:dyDescent="0.25">
      <c r="A378" s="88"/>
      <c r="B378" s="30"/>
      <c r="C378" s="30"/>
      <c r="D378" s="30"/>
      <c r="E378" s="30"/>
      <c r="F378" s="88"/>
      <c r="G378" s="88"/>
      <c r="H378" s="30"/>
      <c r="I378" s="96"/>
      <c r="J378" s="97"/>
      <c r="K378" s="93">
        <v>250.1</v>
      </c>
      <c r="L378" s="93" t="s">
        <v>4136</v>
      </c>
      <c r="M378" s="94" t="s">
        <v>4137</v>
      </c>
      <c r="N378" s="95" t="s">
        <v>3729</v>
      </c>
      <c r="O378" s="98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spans="1:27" x14ac:dyDescent="0.25">
      <c r="A379" s="88"/>
      <c r="B379" s="30"/>
      <c r="C379" s="30"/>
      <c r="D379" s="30"/>
      <c r="E379" s="30"/>
      <c r="F379" s="88"/>
      <c r="G379" s="88"/>
      <c r="H379" s="30"/>
      <c r="I379" s="96"/>
      <c r="J379" s="97"/>
      <c r="K379" s="93">
        <v>250</v>
      </c>
      <c r="L379" s="93" t="s">
        <v>4136</v>
      </c>
      <c r="M379" s="94" t="s">
        <v>4138</v>
      </c>
      <c r="N379" s="95" t="s">
        <v>3562</v>
      </c>
      <c r="O379" s="98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spans="1:27" x14ac:dyDescent="0.25">
      <c r="A380" s="88"/>
      <c r="B380" s="30"/>
      <c r="C380" s="30"/>
      <c r="D380" s="30"/>
      <c r="E380" s="30"/>
      <c r="F380" s="88"/>
      <c r="G380" s="88"/>
      <c r="H380" s="30"/>
      <c r="I380" s="96"/>
      <c r="J380" s="97"/>
      <c r="K380" s="93">
        <v>249</v>
      </c>
      <c r="L380" s="93" t="s">
        <v>4139</v>
      </c>
      <c r="M380" s="94" t="s">
        <v>4140</v>
      </c>
      <c r="N380" s="95" t="s">
        <v>3601</v>
      </c>
      <c r="O380" s="98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spans="1:27" x14ac:dyDescent="0.25">
      <c r="A381" s="88"/>
      <c r="B381" s="30"/>
      <c r="C381" s="30"/>
      <c r="D381" s="30"/>
      <c r="E381" s="30"/>
      <c r="F381" s="88"/>
      <c r="G381" s="88"/>
      <c r="H381" s="30"/>
      <c r="I381" s="96"/>
      <c r="J381" s="97"/>
      <c r="K381" s="93">
        <v>248</v>
      </c>
      <c r="L381" s="93" t="s">
        <v>3994</v>
      </c>
      <c r="M381" s="94" t="s">
        <v>4141</v>
      </c>
      <c r="N381" s="95" t="s">
        <v>3558</v>
      </c>
      <c r="O381" s="98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spans="1:27" x14ac:dyDescent="0.25">
      <c r="A382" s="88"/>
      <c r="B382" s="30"/>
      <c r="C382" s="30"/>
      <c r="D382" s="30"/>
      <c r="E382" s="30"/>
      <c r="F382" s="88"/>
      <c r="G382" s="88"/>
      <c r="H382" s="30"/>
      <c r="I382" s="96"/>
      <c r="J382" s="97"/>
      <c r="K382" s="93">
        <v>246</v>
      </c>
      <c r="L382" s="93" t="s">
        <v>3996</v>
      </c>
      <c r="M382" s="94" t="s">
        <v>4142</v>
      </c>
      <c r="N382" s="95" t="s">
        <v>3558</v>
      </c>
      <c r="O382" s="98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spans="1:27" x14ac:dyDescent="0.25">
      <c r="A383" s="88"/>
      <c r="B383" s="30"/>
      <c r="C383" s="30"/>
      <c r="D383" s="30"/>
      <c r="E383" s="30"/>
      <c r="F383" s="88"/>
      <c r="G383" s="88"/>
      <c r="H383" s="30"/>
      <c r="I383" s="96"/>
      <c r="J383" s="97"/>
      <c r="K383" s="93">
        <v>245</v>
      </c>
      <c r="L383" s="93" t="s">
        <v>4143</v>
      </c>
      <c r="M383" s="94" t="s">
        <v>4144</v>
      </c>
      <c r="N383" s="95" t="s">
        <v>3553</v>
      </c>
      <c r="O383" s="98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spans="1:27" x14ac:dyDescent="0.25">
      <c r="A384" s="88"/>
      <c r="B384" s="30"/>
      <c r="C384" s="30"/>
      <c r="D384" s="30"/>
      <c r="E384" s="30"/>
      <c r="F384" s="88"/>
      <c r="G384" s="88"/>
      <c r="H384" s="30"/>
      <c r="I384" s="96"/>
      <c r="J384" s="97"/>
      <c r="K384" s="93">
        <v>244.2</v>
      </c>
      <c r="L384" s="93" t="s">
        <v>4145</v>
      </c>
      <c r="M384" s="94" t="s">
        <v>4146</v>
      </c>
      <c r="N384" s="95" t="s">
        <v>3622</v>
      </c>
      <c r="O384" s="98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spans="1:27" x14ac:dyDescent="0.25">
      <c r="A385" s="88"/>
      <c r="B385" s="30"/>
      <c r="C385" s="30"/>
      <c r="D385" s="30"/>
      <c r="E385" s="30"/>
      <c r="F385" s="88"/>
      <c r="G385" s="88"/>
      <c r="H385" s="30"/>
      <c r="I385" s="96"/>
      <c r="J385" s="97"/>
      <c r="K385" s="93">
        <v>244</v>
      </c>
      <c r="L385" s="93" t="s">
        <v>4147</v>
      </c>
      <c r="M385" s="94" t="s">
        <v>4148</v>
      </c>
      <c r="N385" s="95" t="s">
        <v>3622</v>
      </c>
      <c r="O385" s="98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spans="1:27" x14ac:dyDescent="0.25">
      <c r="A386" s="88"/>
      <c r="B386" s="30"/>
      <c r="C386" s="30"/>
      <c r="D386" s="30"/>
      <c r="E386" s="30"/>
      <c r="F386" s="88"/>
      <c r="G386" s="88"/>
      <c r="H386" s="30"/>
      <c r="I386" s="96"/>
      <c r="J386" s="97"/>
      <c r="K386" s="93">
        <v>241</v>
      </c>
      <c r="L386" s="93" t="s">
        <v>4149</v>
      </c>
      <c r="M386" s="94" t="s">
        <v>4150</v>
      </c>
      <c r="N386" s="95"/>
      <c r="O386" s="98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spans="1:27" x14ac:dyDescent="0.25">
      <c r="A387" s="88"/>
      <c r="B387" s="30"/>
      <c r="C387" s="30"/>
      <c r="D387" s="30"/>
      <c r="E387" s="30"/>
      <c r="F387" s="88"/>
      <c r="G387" s="88"/>
      <c r="H387" s="30"/>
      <c r="I387" s="96"/>
      <c r="J387" s="97"/>
      <c r="K387" s="93">
        <v>240</v>
      </c>
      <c r="L387" s="93" t="s">
        <v>3682</v>
      </c>
      <c r="M387" s="94" t="s">
        <v>3683</v>
      </c>
      <c r="N387" s="95" t="s">
        <v>3562</v>
      </c>
      <c r="O387" s="98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spans="1:27" x14ac:dyDescent="0.25">
      <c r="A388" s="88"/>
      <c r="B388" s="30"/>
      <c r="C388" s="30"/>
      <c r="D388" s="30"/>
      <c r="E388" s="30"/>
      <c r="F388" s="88"/>
      <c r="G388" s="88"/>
      <c r="H388" s="30"/>
      <c r="I388" s="96"/>
      <c r="J388" s="97"/>
      <c r="K388" s="93">
        <v>239</v>
      </c>
      <c r="L388" s="93" t="s">
        <v>4151</v>
      </c>
      <c r="M388" s="94" t="s">
        <v>4152</v>
      </c>
      <c r="N388" s="95" t="s">
        <v>3588</v>
      </c>
      <c r="O388" s="98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spans="1:27" x14ac:dyDescent="0.25">
      <c r="A389" s="88"/>
      <c r="B389" s="30"/>
      <c r="C389" s="30"/>
      <c r="D389" s="30"/>
      <c r="E389" s="30"/>
      <c r="F389" s="88"/>
      <c r="G389" s="88"/>
      <c r="H389" s="30"/>
      <c r="I389" s="96"/>
      <c r="J389" s="97"/>
      <c r="K389" s="93">
        <v>236</v>
      </c>
      <c r="L389" s="93" t="s">
        <v>4153</v>
      </c>
      <c r="M389" s="94" t="s">
        <v>4154</v>
      </c>
      <c r="N389" s="95" t="s">
        <v>3588</v>
      </c>
      <c r="O389" s="98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spans="1:27" x14ac:dyDescent="0.25">
      <c r="A390" s="88"/>
      <c r="B390" s="30"/>
      <c r="C390" s="30"/>
      <c r="D390" s="30"/>
      <c r="E390" s="30"/>
      <c r="F390" s="88"/>
      <c r="G390" s="88"/>
      <c r="H390" s="30"/>
      <c r="I390" s="96"/>
      <c r="J390" s="97"/>
      <c r="K390" s="93">
        <v>233</v>
      </c>
      <c r="L390" s="93" t="s">
        <v>4155</v>
      </c>
      <c r="M390" s="94" t="s">
        <v>4156</v>
      </c>
      <c r="N390" s="95" t="s">
        <v>4068</v>
      </c>
      <c r="O390" s="98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spans="1:27" x14ac:dyDescent="0.25">
      <c r="A391" s="88"/>
      <c r="B391" s="30"/>
      <c r="C391" s="30"/>
      <c r="D391" s="30"/>
      <c r="E391" s="30"/>
      <c r="F391" s="88"/>
      <c r="G391" s="88"/>
      <c r="H391" s="30"/>
      <c r="I391" s="96"/>
      <c r="J391" s="97"/>
      <c r="K391" s="93">
        <v>231</v>
      </c>
      <c r="L391" s="93" t="s">
        <v>4157</v>
      </c>
      <c r="M391" s="94" t="s">
        <v>4158</v>
      </c>
      <c r="N391" s="95" t="s">
        <v>4068</v>
      </c>
      <c r="O391" s="98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spans="1:27" x14ac:dyDescent="0.25">
      <c r="A392" s="88"/>
      <c r="B392" s="30"/>
      <c r="C392" s="30"/>
      <c r="D392" s="30"/>
      <c r="E392" s="30"/>
      <c r="F392" s="88"/>
      <c r="G392" s="88"/>
      <c r="H392" s="30"/>
      <c r="I392" s="96"/>
      <c r="J392" s="97"/>
      <c r="K392" s="93">
        <v>230.1</v>
      </c>
      <c r="L392" s="93" t="s">
        <v>4159</v>
      </c>
      <c r="M392" s="94" t="s">
        <v>4160</v>
      </c>
      <c r="N392" s="95" t="s">
        <v>3729</v>
      </c>
      <c r="O392" s="98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spans="1:27" x14ac:dyDescent="0.25">
      <c r="A393" s="88"/>
      <c r="B393" s="30"/>
      <c r="C393" s="30"/>
      <c r="D393" s="30"/>
      <c r="E393" s="30"/>
      <c r="F393" s="88"/>
      <c r="G393" s="88"/>
      <c r="H393" s="30"/>
      <c r="I393" s="96"/>
      <c r="J393" s="97"/>
      <c r="K393" s="93">
        <v>230</v>
      </c>
      <c r="L393" s="93" t="s">
        <v>4159</v>
      </c>
      <c r="M393" s="94" t="s">
        <v>4161</v>
      </c>
      <c r="N393" s="95" t="s">
        <v>3734</v>
      </c>
      <c r="O393" s="98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spans="1:27" x14ac:dyDescent="0.25">
      <c r="A394" s="88"/>
      <c r="B394" s="30"/>
      <c r="C394" s="30"/>
      <c r="D394" s="30"/>
      <c r="E394" s="30"/>
      <c r="F394" s="88"/>
      <c r="G394" s="88"/>
      <c r="H394" s="30"/>
      <c r="I394" s="96"/>
      <c r="J394" s="97"/>
      <c r="K394" s="93">
        <v>229.2</v>
      </c>
      <c r="L394" s="93" t="s">
        <v>4162</v>
      </c>
      <c r="M394" s="94" t="s">
        <v>4163</v>
      </c>
      <c r="N394" s="95" t="s">
        <v>3622</v>
      </c>
      <c r="O394" s="98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spans="1:27" x14ac:dyDescent="0.25">
      <c r="A395" s="88"/>
      <c r="B395" s="30"/>
      <c r="C395" s="30"/>
      <c r="D395" s="30"/>
      <c r="E395" s="30"/>
      <c r="F395" s="88"/>
      <c r="G395" s="88"/>
      <c r="H395" s="30"/>
      <c r="I395" s="96"/>
      <c r="J395" s="97"/>
      <c r="K395" s="93">
        <v>229.1</v>
      </c>
      <c r="L395" s="93" t="s">
        <v>4164</v>
      </c>
      <c r="M395" s="94" t="s">
        <v>4165</v>
      </c>
      <c r="N395" s="95" t="s">
        <v>3622</v>
      </c>
      <c r="O395" s="98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spans="1:27" x14ac:dyDescent="0.25">
      <c r="A396" s="88"/>
      <c r="B396" s="30"/>
      <c r="C396" s="30"/>
      <c r="D396" s="30"/>
      <c r="E396" s="30"/>
      <c r="F396" s="88"/>
      <c r="G396" s="88"/>
      <c r="H396" s="30"/>
      <c r="I396" s="96"/>
      <c r="J396" s="97"/>
      <c r="K396" s="93">
        <v>228</v>
      </c>
      <c r="L396" s="93" t="s">
        <v>3559</v>
      </c>
      <c r="M396" s="94" t="s">
        <v>3686</v>
      </c>
      <c r="N396" s="95" t="s">
        <v>3604</v>
      </c>
      <c r="O396" s="98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spans="1:27" x14ac:dyDescent="0.25">
      <c r="A397" s="88"/>
      <c r="B397" s="30"/>
      <c r="C397" s="30"/>
      <c r="D397" s="30"/>
      <c r="E397" s="30"/>
      <c r="F397" s="88"/>
      <c r="G397" s="88"/>
      <c r="H397" s="30"/>
      <c r="I397" s="96"/>
      <c r="J397" s="97"/>
      <c r="K397" s="93">
        <v>225</v>
      </c>
      <c r="L397" s="93" t="s">
        <v>4166</v>
      </c>
      <c r="M397" s="94" t="s">
        <v>4167</v>
      </c>
      <c r="N397" s="95" t="s">
        <v>3661</v>
      </c>
      <c r="O397" s="98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spans="1:27" x14ac:dyDescent="0.25">
      <c r="A398" s="88"/>
      <c r="B398" s="30"/>
      <c r="C398" s="30"/>
      <c r="D398" s="30"/>
      <c r="E398" s="30"/>
      <c r="F398" s="88"/>
      <c r="G398" s="88"/>
      <c r="H398" s="30"/>
      <c r="I398" s="96"/>
      <c r="J398" s="97"/>
      <c r="K398" s="93">
        <v>221.2</v>
      </c>
      <c r="L398" s="93" t="s">
        <v>4168</v>
      </c>
      <c r="M398" s="94" t="s">
        <v>4169</v>
      </c>
      <c r="N398" s="95" t="s">
        <v>3991</v>
      </c>
      <c r="O398" s="98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spans="1:27" x14ac:dyDescent="0.25">
      <c r="A399" s="88"/>
      <c r="B399" s="30"/>
      <c r="C399" s="30"/>
      <c r="D399" s="30"/>
      <c r="E399" s="30"/>
      <c r="F399" s="88"/>
      <c r="G399" s="88"/>
      <c r="H399" s="30"/>
      <c r="I399" s="96"/>
      <c r="J399" s="97"/>
      <c r="K399" s="93">
        <v>221</v>
      </c>
      <c r="L399" s="93" t="s">
        <v>4170</v>
      </c>
      <c r="M399" s="94" t="s">
        <v>4171</v>
      </c>
      <c r="N399" s="95" t="s">
        <v>3991</v>
      </c>
      <c r="O399" s="98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spans="1:27" x14ac:dyDescent="0.25">
      <c r="A400" s="88"/>
      <c r="B400" s="30"/>
      <c r="C400" s="30"/>
      <c r="D400" s="30"/>
      <c r="E400" s="30"/>
      <c r="F400" s="88"/>
      <c r="G400" s="88"/>
      <c r="H400" s="30"/>
      <c r="I400" s="96"/>
      <c r="J400" s="97"/>
      <c r="K400" s="93">
        <v>220</v>
      </c>
      <c r="L400" s="93" t="s">
        <v>4172</v>
      </c>
      <c r="M400" s="94" t="s">
        <v>4173</v>
      </c>
      <c r="N400" s="95" t="s">
        <v>3562</v>
      </c>
      <c r="O400" s="98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spans="1:27" x14ac:dyDescent="0.25">
      <c r="A401" s="88"/>
      <c r="B401" s="30"/>
      <c r="C401" s="30"/>
      <c r="D401" s="30"/>
      <c r="E401" s="30"/>
      <c r="F401" s="88"/>
      <c r="G401" s="88"/>
      <c r="H401" s="30"/>
      <c r="I401" s="96"/>
      <c r="J401" s="97"/>
      <c r="K401" s="93">
        <v>219</v>
      </c>
      <c r="L401" s="93" t="s">
        <v>4174</v>
      </c>
      <c r="M401" s="94" t="s">
        <v>4175</v>
      </c>
      <c r="N401" s="95" t="s">
        <v>3588</v>
      </c>
      <c r="O401" s="98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spans="1:27" x14ac:dyDescent="0.25">
      <c r="A402" s="88"/>
      <c r="B402" s="30"/>
      <c r="C402" s="30"/>
      <c r="D402" s="30"/>
      <c r="E402" s="30"/>
      <c r="F402" s="88"/>
      <c r="G402" s="88"/>
      <c r="H402" s="30"/>
      <c r="I402" s="96"/>
      <c r="J402" s="97"/>
      <c r="K402" s="93">
        <v>218</v>
      </c>
      <c r="L402" s="93" t="s">
        <v>4176</v>
      </c>
      <c r="M402" s="94" t="s">
        <v>4177</v>
      </c>
      <c r="N402" s="95" t="s">
        <v>3594</v>
      </c>
      <c r="O402" s="98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spans="1:27" x14ac:dyDescent="0.25">
      <c r="A403" s="88"/>
      <c r="B403" s="30"/>
      <c r="C403" s="30"/>
      <c r="D403" s="30"/>
      <c r="E403" s="30"/>
      <c r="F403" s="88"/>
      <c r="G403" s="88"/>
      <c r="H403" s="30"/>
      <c r="I403" s="96"/>
      <c r="J403" s="97"/>
      <c r="K403" s="93">
        <v>217</v>
      </c>
      <c r="L403" s="93" t="s">
        <v>4178</v>
      </c>
      <c r="M403" s="94" t="s">
        <v>4179</v>
      </c>
      <c r="N403" s="95" t="s">
        <v>3594</v>
      </c>
      <c r="O403" s="98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spans="1:27" x14ac:dyDescent="0.25">
      <c r="A404" s="88"/>
      <c r="B404" s="30"/>
      <c r="C404" s="30"/>
      <c r="D404" s="30"/>
      <c r="E404" s="30"/>
      <c r="F404" s="88"/>
      <c r="G404" s="88"/>
      <c r="H404" s="30"/>
      <c r="I404" s="96"/>
      <c r="J404" s="97"/>
      <c r="K404" s="93">
        <v>215.2</v>
      </c>
      <c r="L404" s="93" t="s">
        <v>4180</v>
      </c>
      <c r="M404" s="94" t="s">
        <v>4181</v>
      </c>
      <c r="N404" s="95" t="s">
        <v>3615</v>
      </c>
      <c r="O404" s="98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spans="1:27" x14ac:dyDescent="0.25">
      <c r="A405" s="88"/>
      <c r="B405" s="30"/>
      <c r="C405" s="30"/>
      <c r="D405" s="30"/>
      <c r="E405" s="30"/>
      <c r="F405" s="88"/>
      <c r="G405" s="88"/>
      <c r="H405" s="30"/>
      <c r="I405" s="96"/>
      <c r="J405" s="97"/>
      <c r="K405" s="93">
        <v>215</v>
      </c>
      <c r="L405" s="93" t="s">
        <v>4182</v>
      </c>
      <c r="M405" s="94" t="s">
        <v>4183</v>
      </c>
      <c r="N405" s="95" t="s">
        <v>3615</v>
      </c>
      <c r="O405" s="98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spans="1:27" x14ac:dyDescent="0.25">
      <c r="A406" s="88"/>
      <c r="B406" s="30"/>
      <c r="C406" s="30"/>
      <c r="D406" s="30"/>
      <c r="E406" s="30"/>
      <c r="F406" s="88"/>
      <c r="G406" s="88"/>
      <c r="H406" s="30"/>
      <c r="I406" s="96"/>
      <c r="J406" s="97"/>
      <c r="K406" s="93">
        <v>214</v>
      </c>
      <c r="L406" s="93" t="s">
        <v>3648</v>
      </c>
      <c r="M406" s="94" t="s">
        <v>3649</v>
      </c>
      <c r="N406" s="95" t="s">
        <v>3601</v>
      </c>
      <c r="O406" s="98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spans="1:27" x14ac:dyDescent="0.25">
      <c r="A407" s="88"/>
      <c r="B407" s="30"/>
      <c r="C407" s="30"/>
      <c r="D407" s="30"/>
      <c r="E407" s="30"/>
      <c r="F407" s="88"/>
      <c r="G407" s="88"/>
      <c r="H407" s="30"/>
      <c r="I407" s="96"/>
      <c r="J407" s="97"/>
      <c r="K407" s="93">
        <v>213</v>
      </c>
      <c r="L407" s="93" t="s">
        <v>3650</v>
      </c>
      <c r="M407" s="94" t="s">
        <v>3651</v>
      </c>
      <c r="N407" s="95" t="s">
        <v>3601</v>
      </c>
      <c r="O407" s="98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spans="1:27" x14ac:dyDescent="0.25">
      <c r="A408" s="88"/>
      <c r="B408" s="30"/>
      <c r="C408" s="30"/>
      <c r="D408" s="30"/>
      <c r="E408" s="30"/>
      <c r="F408" s="88"/>
      <c r="G408" s="88"/>
      <c r="H408" s="30"/>
      <c r="I408" s="96"/>
      <c r="J408" s="97"/>
      <c r="K408" s="93">
        <v>212</v>
      </c>
      <c r="L408" s="93" t="s">
        <v>3652</v>
      </c>
      <c r="M408" s="94" t="s">
        <v>3653</v>
      </c>
      <c r="N408" s="95" t="s">
        <v>3562</v>
      </c>
      <c r="O408" s="98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spans="1:27" x14ac:dyDescent="0.25">
      <c r="A409" s="88"/>
      <c r="B409" s="30"/>
      <c r="C409" s="30"/>
      <c r="D409" s="30"/>
      <c r="E409" s="30"/>
      <c r="F409" s="88"/>
      <c r="G409" s="88"/>
      <c r="H409" s="30"/>
      <c r="I409" s="96"/>
      <c r="J409" s="97"/>
      <c r="K409" s="93">
        <v>210</v>
      </c>
      <c r="L409" s="93" t="s">
        <v>3654</v>
      </c>
      <c r="M409" s="94" t="s">
        <v>3655</v>
      </c>
      <c r="N409" s="95" t="s">
        <v>3656</v>
      </c>
      <c r="O409" s="98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spans="1:27" x14ac:dyDescent="0.25">
      <c r="A410" s="88"/>
      <c r="B410" s="30"/>
      <c r="C410" s="30"/>
      <c r="D410" s="30"/>
      <c r="E410" s="30"/>
      <c r="F410" s="88"/>
      <c r="G410" s="88"/>
      <c r="H410" s="30"/>
      <c r="I410" s="96"/>
      <c r="J410" s="97"/>
      <c r="K410" s="93">
        <v>209</v>
      </c>
      <c r="L410" s="93" t="s">
        <v>3657</v>
      </c>
      <c r="M410" s="94" t="s">
        <v>3658</v>
      </c>
      <c r="N410" s="95" t="s">
        <v>3585</v>
      </c>
      <c r="O410" s="98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spans="1:27" x14ac:dyDescent="0.25">
      <c r="A411" s="88"/>
      <c r="B411" s="30"/>
      <c r="C411" s="30"/>
      <c r="D411" s="30"/>
      <c r="E411" s="30"/>
      <c r="F411" s="88"/>
      <c r="G411" s="88"/>
      <c r="H411" s="30"/>
      <c r="I411" s="96"/>
      <c r="J411" s="97"/>
      <c r="K411" s="93">
        <v>208</v>
      </c>
      <c r="L411" s="93" t="s">
        <v>3659</v>
      </c>
      <c r="M411" s="94" t="s">
        <v>3660</v>
      </c>
      <c r="N411" s="95" t="s">
        <v>3661</v>
      </c>
      <c r="O411" s="98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spans="1:27" x14ac:dyDescent="0.25">
      <c r="A412" s="88"/>
      <c r="B412" s="30"/>
      <c r="C412" s="30"/>
      <c r="D412" s="30"/>
      <c r="E412" s="30"/>
      <c r="F412" s="88"/>
      <c r="G412" s="88"/>
      <c r="H412" s="30"/>
      <c r="I412" s="96"/>
      <c r="J412" s="97"/>
      <c r="K412" s="93">
        <v>207</v>
      </c>
      <c r="L412" s="93" t="s">
        <v>3662</v>
      </c>
      <c r="M412" s="94" t="s">
        <v>3663</v>
      </c>
      <c r="N412" s="95" t="s">
        <v>3664</v>
      </c>
      <c r="O412" s="98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spans="1:27" x14ac:dyDescent="0.25">
      <c r="A413" s="88"/>
      <c r="B413" s="30"/>
      <c r="C413" s="30"/>
      <c r="D413" s="30"/>
      <c r="E413" s="30"/>
      <c r="F413" s="88"/>
      <c r="G413" s="88"/>
      <c r="H413" s="30"/>
      <c r="I413" s="96"/>
      <c r="J413" s="97"/>
      <c r="K413" s="93">
        <v>206</v>
      </c>
      <c r="L413" s="93" t="s">
        <v>3665</v>
      </c>
      <c r="M413" s="94" t="s">
        <v>3666</v>
      </c>
      <c r="N413" s="95" t="s">
        <v>3815</v>
      </c>
      <c r="O413" s="98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spans="1:27" x14ac:dyDescent="0.25">
      <c r="A414" s="88"/>
      <c r="B414" s="30"/>
      <c r="C414" s="30"/>
      <c r="D414" s="30"/>
      <c r="E414" s="30"/>
      <c r="F414" s="88"/>
      <c r="G414" s="88"/>
      <c r="H414" s="30"/>
      <c r="I414" s="96"/>
      <c r="J414" s="97"/>
      <c r="K414" s="93">
        <v>205</v>
      </c>
      <c r="L414" s="93" t="s">
        <v>3667</v>
      </c>
      <c r="M414" s="94" t="s">
        <v>3668</v>
      </c>
      <c r="N414" s="95" t="s">
        <v>3585</v>
      </c>
      <c r="O414" s="98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spans="1:27" x14ac:dyDescent="0.25">
      <c r="A415" s="88"/>
      <c r="B415" s="30"/>
      <c r="C415" s="30"/>
      <c r="D415" s="30"/>
      <c r="E415" s="30"/>
      <c r="F415" s="88"/>
      <c r="G415" s="88"/>
      <c r="H415" s="30"/>
      <c r="I415" s="96"/>
      <c r="J415" s="97"/>
      <c r="K415" s="93">
        <v>204</v>
      </c>
      <c r="L415" s="93" t="s">
        <v>3669</v>
      </c>
      <c r="M415" s="94" t="s">
        <v>3670</v>
      </c>
      <c r="N415" s="95" t="s">
        <v>3671</v>
      </c>
      <c r="O415" s="98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spans="1:27" x14ac:dyDescent="0.25">
      <c r="A416" s="88"/>
      <c r="B416" s="30"/>
      <c r="C416" s="30"/>
      <c r="D416" s="30"/>
      <c r="E416" s="30"/>
      <c r="F416" s="88"/>
      <c r="G416" s="88"/>
      <c r="H416" s="30"/>
      <c r="I416" s="96"/>
      <c r="J416" s="97"/>
      <c r="K416" s="93">
        <v>203</v>
      </c>
      <c r="L416" s="93" t="s">
        <v>3672</v>
      </c>
      <c r="M416" s="94" t="s">
        <v>3673</v>
      </c>
      <c r="N416" s="95" t="s">
        <v>3558</v>
      </c>
      <c r="O416" s="98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spans="1:27" x14ac:dyDescent="0.25">
      <c r="A417" s="88"/>
      <c r="B417" s="30"/>
      <c r="C417" s="30"/>
      <c r="D417" s="30"/>
      <c r="E417" s="30"/>
      <c r="F417" s="88"/>
      <c r="G417" s="88"/>
      <c r="H417" s="30"/>
      <c r="I417" s="96"/>
      <c r="J417" s="97"/>
      <c r="K417" s="93">
        <v>202</v>
      </c>
      <c r="L417" s="93" t="s">
        <v>3687</v>
      </c>
      <c r="M417" s="94" t="s">
        <v>3688</v>
      </c>
      <c r="N417" s="95" t="s">
        <v>693</v>
      </c>
      <c r="O417" s="98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spans="1:27" x14ac:dyDescent="0.25">
      <c r="A418" s="88"/>
      <c r="B418" s="30"/>
      <c r="C418" s="30"/>
      <c r="D418" s="30"/>
      <c r="E418" s="30"/>
      <c r="F418" s="88"/>
      <c r="G418" s="88"/>
      <c r="H418" s="30"/>
      <c r="I418" s="96"/>
      <c r="J418" s="97"/>
      <c r="K418" s="93">
        <v>201</v>
      </c>
      <c r="L418" s="93" t="s">
        <v>3689</v>
      </c>
      <c r="M418" s="94" t="s">
        <v>3690</v>
      </c>
      <c r="N418" s="95" t="s">
        <v>3594</v>
      </c>
      <c r="O418" s="98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spans="1:27" x14ac:dyDescent="0.25">
      <c r="A419" s="88"/>
      <c r="B419" s="30"/>
      <c r="C419" s="30"/>
      <c r="D419" s="30"/>
      <c r="E419" s="30"/>
      <c r="F419" s="88"/>
      <c r="G419" s="88"/>
      <c r="H419" s="30"/>
      <c r="I419" s="96"/>
      <c r="J419" s="97"/>
      <c r="K419" s="93">
        <v>199</v>
      </c>
      <c r="L419" s="93" t="s">
        <v>3691</v>
      </c>
      <c r="M419" s="94" t="s">
        <v>3692</v>
      </c>
      <c r="N419" s="95" t="s">
        <v>3664</v>
      </c>
      <c r="O419" s="98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spans="1:27" x14ac:dyDescent="0.25">
      <c r="A420" s="88"/>
      <c r="B420" s="30"/>
      <c r="C420" s="30"/>
      <c r="D420" s="30"/>
      <c r="E420" s="30"/>
      <c r="F420" s="88"/>
      <c r="G420" s="88"/>
      <c r="H420" s="30"/>
      <c r="I420" s="96"/>
      <c r="J420" s="97"/>
      <c r="K420" s="93">
        <v>197</v>
      </c>
      <c r="L420" s="93" t="s">
        <v>3695</v>
      </c>
      <c r="M420" s="94" t="s">
        <v>3696</v>
      </c>
      <c r="N420" s="95" t="s">
        <v>4184</v>
      </c>
      <c r="O420" s="98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spans="1:27" x14ac:dyDescent="0.25">
      <c r="A421" s="88"/>
      <c r="B421" s="30"/>
      <c r="C421" s="30"/>
      <c r="D421" s="30"/>
      <c r="E421" s="30"/>
      <c r="F421" s="88"/>
      <c r="G421" s="88"/>
      <c r="H421" s="30"/>
      <c r="I421" s="96"/>
      <c r="J421" s="97"/>
      <c r="K421" s="93">
        <v>196</v>
      </c>
      <c r="L421" s="93" t="s">
        <v>3697</v>
      </c>
      <c r="M421" s="94" t="s">
        <v>3698</v>
      </c>
      <c r="N421" s="95" t="s">
        <v>3604</v>
      </c>
      <c r="O421" s="98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spans="1:27" x14ac:dyDescent="0.25">
      <c r="A422" s="88"/>
      <c r="B422" s="30"/>
      <c r="C422" s="30"/>
      <c r="D422" s="30"/>
      <c r="E422" s="30"/>
      <c r="F422" s="88"/>
      <c r="G422" s="88"/>
      <c r="H422" s="30"/>
      <c r="I422" s="96"/>
      <c r="J422" s="97"/>
      <c r="K422" s="93">
        <v>194</v>
      </c>
      <c r="L422" s="93" t="s">
        <v>3701</v>
      </c>
      <c r="M422" s="94" t="s">
        <v>3702</v>
      </c>
      <c r="N422" s="95" t="s">
        <v>3588</v>
      </c>
      <c r="O422" s="98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spans="1:27" x14ac:dyDescent="0.25">
      <c r="A423" s="88"/>
      <c r="B423" s="30"/>
      <c r="C423" s="30"/>
      <c r="D423" s="30"/>
      <c r="E423" s="30"/>
      <c r="F423" s="88"/>
      <c r="G423" s="88"/>
      <c r="H423" s="30"/>
      <c r="I423" s="96"/>
      <c r="J423" s="97"/>
      <c r="K423" s="93">
        <v>193</v>
      </c>
      <c r="L423" s="93" t="s">
        <v>3703</v>
      </c>
      <c r="M423" s="94" t="s">
        <v>3704</v>
      </c>
      <c r="N423" s="95" t="s">
        <v>3622</v>
      </c>
      <c r="O423" s="98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spans="1:27" x14ac:dyDescent="0.25">
      <c r="A424" s="88"/>
      <c r="B424" s="30"/>
      <c r="C424" s="30"/>
      <c r="D424" s="30"/>
      <c r="E424" s="30"/>
      <c r="F424" s="88"/>
      <c r="G424" s="88"/>
      <c r="H424" s="30"/>
      <c r="I424" s="96"/>
      <c r="J424" s="97"/>
      <c r="K424" s="93">
        <v>192</v>
      </c>
      <c r="L424" s="93" t="s">
        <v>3705</v>
      </c>
      <c r="M424" s="94" t="s">
        <v>3706</v>
      </c>
      <c r="N424" s="95" t="s">
        <v>4184</v>
      </c>
      <c r="O424" s="98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spans="1:27" x14ac:dyDescent="0.25">
      <c r="A425" s="88"/>
      <c r="B425" s="30"/>
      <c r="C425" s="30"/>
      <c r="D425" s="30"/>
      <c r="E425" s="30"/>
      <c r="F425" s="88"/>
      <c r="G425" s="88"/>
      <c r="H425" s="30"/>
      <c r="I425" s="96"/>
      <c r="J425" s="97"/>
      <c r="K425" s="93">
        <v>191</v>
      </c>
      <c r="L425" s="93" t="s">
        <v>3707</v>
      </c>
      <c r="M425" s="94" t="s">
        <v>3708</v>
      </c>
      <c r="N425" s="95" t="s">
        <v>3555</v>
      </c>
      <c r="O425" s="98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spans="1:27" x14ac:dyDescent="0.25">
      <c r="A426" s="88"/>
      <c r="B426" s="30"/>
      <c r="C426" s="30"/>
      <c r="D426" s="30"/>
      <c r="E426" s="30"/>
      <c r="F426" s="88"/>
      <c r="G426" s="88"/>
      <c r="H426" s="30"/>
      <c r="I426" s="96"/>
      <c r="J426" s="97"/>
      <c r="K426" s="93">
        <v>190</v>
      </c>
      <c r="L426" s="93" t="s">
        <v>3646</v>
      </c>
      <c r="M426" s="94" t="s">
        <v>3647</v>
      </c>
      <c r="N426" s="95" t="s">
        <v>3553</v>
      </c>
      <c r="O426" s="98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spans="1:27" x14ac:dyDescent="0.25">
      <c r="A427" s="88"/>
      <c r="B427" s="30"/>
      <c r="C427" s="30"/>
      <c r="D427" s="30"/>
      <c r="E427" s="30"/>
      <c r="F427" s="88"/>
      <c r="G427" s="88"/>
      <c r="H427" s="30"/>
      <c r="I427" s="96"/>
      <c r="J427" s="97"/>
      <c r="K427" s="93">
        <v>186</v>
      </c>
      <c r="L427" s="93" t="s">
        <v>3715</v>
      </c>
      <c r="M427" s="94" t="s">
        <v>3716</v>
      </c>
      <c r="N427" s="95" t="s">
        <v>3553</v>
      </c>
      <c r="O427" s="98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spans="1:27" x14ac:dyDescent="0.25">
      <c r="A428" s="88"/>
      <c r="B428" s="30"/>
      <c r="C428" s="30"/>
      <c r="D428" s="30"/>
      <c r="E428" s="30"/>
      <c r="F428" s="88"/>
      <c r="G428" s="88"/>
      <c r="H428" s="30"/>
      <c r="I428" s="96"/>
      <c r="J428" s="97"/>
      <c r="K428" s="93">
        <v>183.3</v>
      </c>
      <c r="L428" s="93" t="s">
        <v>4185</v>
      </c>
      <c r="M428" s="94" t="s">
        <v>4186</v>
      </c>
      <c r="N428" s="95" t="s">
        <v>3609</v>
      </c>
      <c r="O428" s="98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spans="1:27" x14ac:dyDescent="0.25">
      <c r="A429" s="88"/>
      <c r="B429" s="30"/>
      <c r="C429" s="30"/>
      <c r="D429" s="30"/>
      <c r="E429" s="30"/>
      <c r="F429" s="88"/>
      <c r="G429" s="88"/>
      <c r="H429" s="30"/>
      <c r="I429" s="96"/>
      <c r="J429" s="97"/>
      <c r="K429" s="93">
        <v>183.2</v>
      </c>
      <c r="L429" s="93" t="s">
        <v>3721</v>
      </c>
      <c r="M429" s="94" t="s">
        <v>3722</v>
      </c>
      <c r="N429" s="95" t="s">
        <v>3609</v>
      </c>
      <c r="O429" s="98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spans="1:27" x14ac:dyDescent="0.25">
      <c r="A430" s="88"/>
      <c r="B430" s="30"/>
      <c r="C430" s="30"/>
      <c r="D430" s="30"/>
      <c r="E430" s="30"/>
      <c r="F430" s="88"/>
      <c r="G430" s="88"/>
      <c r="H430" s="30"/>
      <c r="I430" s="96"/>
      <c r="J430" s="97"/>
      <c r="K430" s="93">
        <v>183</v>
      </c>
      <c r="L430" s="93" t="s">
        <v>3723</v>
      </c>
      <c r="M430" s="94" t="s">
        <v>3724</v>
      </c>
      <c r="N430" s="95" t="s">
        <v>3609</v>
      </c>
      <c r="O430" s="98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spans="1:27" x14ac:dyDescent="0.25">
      <c r="A431" s="88"/>
      <c r="B431" s="30"/>
      <c r="C431" s="30"/>
      <c r="D431" s="30"/>
      <c r="E431" s="30"/>
      <c r="F431" s="88"/>
      <c r="G431" s="88"/>
      <c r="H431" s="30"/>
      <c r="I431" s="96"/>
      <c r="J431" s="97"/>
      <c r="K431" s="93">
        <v>180.7</v>
      </c>
      <c r="L431" s="93" t="s">
        <v>3732</v>
      </c>
      <c r="M431" s="94" t="s">
        <v>4187</v>
      </c>
      <c r="N431" s="95" t="s">
        <v>3729</v>
      </c>
      <c r="O431" s="98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spans="1:27" x14ac:dyDescent="0.25">
      <c r="A432" s="88"/>
      <c r="B432" s="30"/>
      <c r="C432" s="30"/>
      <c r="D432" s="30"/>
      <c r="E432" s="30"/>
      <c r="F432" s="88"/>
      <c r="G432" s="88"/>
      <c r="H432" s="30"/>
      <c r="I432" s="96"/>
      <c r="J432" s="97"/>
      <c r="K432" s="93">
        <v>180.6</v>
      </c>
      <c r="L432" s="93" t="s">
        <v>3735</v>
      </c>
      <c r="M432" s="94" t="s">
        <v>4188</v>
      </c>
      <c r="N432" s="95" t="s">
        <v>3729</v>
      </c>
      <c r="O432" s="98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spans="1:27" x14ac:dyDescent="0.25">
      <c r="A433" s="88"/>
      <c r="B433" s="30"/>
      <c r="C433" s="30"/>
      <c r="D433" s="30"/>
      <c r="E433" s="30"/>
      <c r="F433" s="88"/>
      <c r="G433" s="88"/>
      <c r="H433" s="30"/>
      <c r="I433" s="96"/>
      <c r="J433" s="97"/>
      <c r="K433" s="93">
        <v>180.5</v>
      </c>
      <c r="L433" s="93" t="s">
        <v>4189</v>
      </c>
      <c r="M433" s="94" t="s">
        <v>4190</v>
      </c>
      <c r="N433" s="95" t="s">
        <v>3729</v>
      </c>
      <c r="O433" s="98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spans="1:27" x14ac:dyDescent="0.25">
      <c r="A434" s="88"/>
      <c r="B434" s="30"/>
      <c r="C434" s="30"/>
      <c r="D434" s="30"/>
      <c r="E434" s="30"/>
      <c r="F434" s="88"/>
      <c r="G434" s="88"/>
      <c r="H434" s="30"/>
      <c r="I434" s="96"/>
      <c r="J434" s="97"/>
      <c r="K434" s="93">
        <v>180.4</v>
      </c>
      <c r="L434" s="93" t="s">
        <v>3732</v>
      </c>
      <c r="M434" s="94" t="s">
        <v>3733</v>
      </c>
      <c r="N434" s="95" t="s">
        <v>3734</v>
      </c>
      <c r="O434" s="98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spans="1:27" x14ac:dyDescent="0.25">
      <c r="A435" s="88"/>
      <c r="B435" s="30"/>
      <c r="C435" s="30"/>
      <c r="D435" s="30"/>
      <c r="E435" s="30"/>
      <c r="F435" s="88"/>
      <c r="G435" s="88"/>
      <c r="H435" s="30"/>
      <c r="I435" s="96"/>
      <c r="J435" s="97"/>
      <c r="K435" s="93">
        <v>180.3</v>
      </c>
      <c r="L435" s="93" t="s">
        <v>3735</v>
      </c>
      <c r="M435" s="94" t="s">
        <v>3736</v>
      </c>
      <c r="N435" s="95" t="s">
        <v>3734</v>
      </c>
      <c r="O435" s="98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spans="1:27" x14ac:dyDescent="0.25">
      <c r="A436" s="88"/>
      <c r="B436" s="30"/>
      <c r="C436" s="30"/>
      <c r="D436" s="30"/>
      <c r="E436" s="30"/>
      <c r="F436" s="88"/>
      <c r="G436" s="88"/>
      <c r="H436" s="30"/>
      <c r="I436" s="96"/>
      <c r="J436" s="97"/>
      <c r="K436" s="93">
        <v>179</v>
      </c>
      <c r="L436" s="93" t="s">
        <v>3741</v>
      </c>
      <c r="M436" s="94" t="s">
        <v>3742</v>
      </c>
      <c r="N436" s="95" t="s">
        <v>3656</v>
      </c>
      <c r="O436" s="98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spans="1:27" x14ac:dyDescent="0.25">
      <c r="A437" s="88"/>
      <c r="B437" s="30"/>
      <c r="C437" s="30"/>
      <c r="D437" s="30"/>
      <c r="E437" s="30"/>
      <c r="F437" s="88"/>
      <c r="G437" s="88"/>
      <c r="H437" s="30"/>
      <c r="I437" s="96"/>
      <c r="J437" s="97"/>
      <c r="K437" s="93">
        <v>176.4</v>
      </c>
      <c r="L437" s="93" t="s">
        <v>3747</v>
      </c>
      <c r="M437" s="94" t="s">
        <v>3748</v>
      </c>
      <c r="N437" s="95" t="s">
        <v>3729</v>
      </c>
      <c r="O437" s="98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spans="1:27" x14ac:dyDescent="0.25">
      <c r="A438" s="88"/>
      <c r="B438" s="30"/>
      <c r="C438" s="30"/>
      <c r="D438" s="30"/>
      <c r="E438" s="30"/>
      <c r="F438" s="88"/>
      <c r="G438" s="88"/>
      <c r="H438" s="30"/>
      <c r="I438" s="96"/>
      <c r="J438" s="97"/>
      <c r="K438" s="93">
        <v>176.3</v>
      </c>
      <c r="L438" s="93" t="s">
        <v>3747</v>
      </c>
      <c r="M438" s="94" t="s">
        <v>3749</v>
      </c>
      <c r="N438" s="95" t="s">
        <v>3583</v>
      </c>
      <c r="O438" s="98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spans="1:27" x14ac:dyDescent="0.25">
      <c r="A439" s="88"/>
      <c r="B439" s="30"/>
      <c r="C439" s="30"/>
      <c r="D439" s="30"/>
      <c r="E439" s="30"/>
      <c r="F439" s="88"/>
      <c r="G439" s="88"/>
      <c r="H439" s="30"/>
      <c r="I439" s="96"/>
      <c r="J439" s="97"/>
      <c r="K439" s="93">
        <v>176.2</v>
      </c>
      <c r="L439" s="93" t="s">
        <v>3750</v>
      </c>
      <c r="M439" s="94" t="s">
        <v>3751</v>
      </c>
      <c r="N439" s="95" t="s">
        <v>3729</v>
      </c>
      <c r="O439" s="98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spans="1:27" x14ac:dyDescent="0.25">
      <c r="A440" s="88"/>
      <c r="B440" s="30"/>
      <c r="C440" s="30"/>
      <c r="D440" s="30"/>
      <c r="E440" s="30"/>
      <c r="F440" s="88"/>
      <c r="G440" s="88"/>
      <c r="H440" s="30"/>
      <c r="I440" s="96"/>
      <c r="J440" s="97"/>
      <c r="K440" s="93">
        <v>176.1</v>
      </c>
      <c r="L440" s="93" t="s">
        <v>3750</v>
      </c>
      <c r="M440" s="94" t="s">
        <v>3752</v>
      </c>
      <c r="N440" s="95" t="s">
        <v>3583</v>
      </c>
      <c r="O440" s="98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spans="1:27" x14ac:dyDescent="0.25">
      <c r="A441" s="88"/>
      <c r="B441" s="30"/>
      <c r="C441" s="30"/>
      <c r="D441" s="30"/>
      <c r="E441" s="30"/>
      <c r="F441" s="88"/>
      <c r="G441" s="88"/>
      <c r="H441" s="30"/>
      <c r="I441" s="96"/>
      <c r="J441" s="97"/>
      <c r="K441" s="93">
        <v>175.3</v>
      </c>
      <c r="L441" s="93" t="s">
        <v>3753</v>
      </c>
      <c r="M441" s="94" t="s">
        <v>3754</v>
      </c>
      <c r="N441" s="95" t="s">
        <v>3729</v>
      </c>
      <c r="O441" s="98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spans="1:27" x14ac:dyDescent="0.25">
      <c r="A442" s="88"/>
      <c r="B442" s="30"/>
      <c r="C442" s="30"/>
      <c r="D442" s="30"/>
      <c r="E442" s="30"/>
      <c r="F442" s="88"/>
      <c r="G442" s="88"/>
      <c r="H442" s="30"/>
      <c r="I442" s="96"/>
      <c r="J442" s="97"/>
      <c r="K442" s="93">
        <v>175.2</v>
      </c>
      <c r="L442" s="93" t="s">
        <v>3755</v>
      </c>
      <c r="M442" s="94" t="s">
        <v>3756</v>
      </c>
      <c r="N442" s="95" t="s">
        <v>3609</v>
      </c>
      <c r="O442" s="98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spans="1:27" x14ac:dyDescent="0.25">
      <c r="A443" s="88"/>
      <c r="B443" s="30"/>
      <c r="C443" s="30"/>
      <c r="D443" s="30"/>
      <c r="E443" s="30"/>
      <c r="F443" s="88"/>
      <c r="G443" s="88"/>
      <c r="H443" s="30"/>
      <c r="I443" s="96"/>
      <c r="J443" s="97"/>
      <c r="K443" s="93">
        <v>174</v>
      </c>
      <c r="L443" s="93" t="s">
        <v>3759</v>
      </c>
      <c r="M443" s="94" t="s">
        <v>3760</v>
      </c>
      <c r="N443" s="95" t="s">
        <v>3634</v>
      </c>
      <c r="O443" s="98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spans="1:27" x14ac:dyDescent="0.25">
      <c r="A444" s="88"/>
      <c r="B444" s="30"/>
      <c r="C444" s="30"/>
      <c r="D444" s="30"/>
      <c r="E444" s="30"/>
      <c r="F444" s="88"/>
      <c r="G444" s="88"/>
      <c r="H444" s="30"/>
      <c r="I444" s="96"/>
      <c r="J444" s="97"/>
      <c r="K444" s="93">
        <v>168</v>
      </c>
      <c r="L444" s="93" t="s">
        <v>3771</v>
      </c>
      <c r="M444" s="94" t="s">
        <v>3772</v>
      </c>
      <c r="N444" s="95" t="s">
        <v>3773</v>
      </c>
      <c r="O444" s="98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spans="1:27" x14ac:dyDescent="0.25">
      <c r="A445" s="88"/>
      <c r="B445" s="30"/>
      <c r="C445" s="30"/>
      <c r="D445" s="30"/>
      <c r="E445" s="30"/>
      <c r="F445" s="88"/>
      <c r="G445" s="88"/>
      <c r="H445" s="30"/>
      <c r="I445" s="96"/>
      <c r="J445" s="97"/>
      <c r="K445" s="93">
        <v>166</v>
      </c>
      <c r="L445" s="93" t="s">
        <v>3774</v>
      </c>
      <c r="M445" s="94" t="s">
        <v>3775</v>
      </c>
      <c r="N445" s="95" t="s">
        <v>3585</v>
      </c>
      <c r="O445" s="98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spans="1:27" x14ac:dyDescent="0.25">
      <c r="A446" s="88"/>
      <c r="B446" s="30"/>
      <c r="C446" s="30"/>
      <c r="D446" s="30"/>
      <c r="E446" s="30"/>
      <c r="F446" s="88"/>
      <c r="G446" s="88"/>
      <c r="H446" s="30"/>
      <c r="I446" s="96"/>
      <c r="J446" s="97"/>
      <c r="K446" s="93">
        <v>160</v>
      </c>
      <c r="L446" s="93" t="s">
        <v>3786</v>
      </c>
      <c r="M446" s="94" t="s">
        <v>3787</v>
      </c>
      <c r="N446" s="95" t="s">
        <v>3671</v>
      </c>
      <c r="O446" s="98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spans="1:27" x14ac:dyDescent="0.25">
      <c r="A447" s="88"/>
      <c r="B447" s="30"/>
      <c r="C447" s="30"/>
      <c r="D447" s="30"/>
      <c r="E447" s="30"/>
      <c r="F447" s="88"/>
      <c r="G447" s="88"/>
      <c r="H447" s="30"/>
      <c r="I447" s="96"/>
      <c r="J447" s="97"/>
      <c r="K447" s="93">
        <v>156.19999999999999</v>
      </c>
      <c r="L447" s="93" t="s">
        <v>3795</v>
      </c>
      <c r="M447" s="94" t="s">
        <v>3796</v>
      </c>
      <c r="N447" s="95" t="s">
        <v>3609</v>
      </c>
      <c r="O447" s="98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spans="1:27" x14ac:dyDescent="0.25">
      <c r="A448" s="88"/>
      <c r="B448" s="30"/>
      <c r="C448" s="30"/>
      <c r="D448" s="30"/>
      <c r="E448" s="30"/>
      <c r="F448" s="88"/>
      <c r="G448" s="88"/>
      <c r="H448" s="30"/>
      <c r="I448" s="96"/>
      <c r="J448" s="97"/>
      <c r="K448" s="93">
        <v>156.1</v>
      </c>
      <c r="L448" s="93" t="s">
        <v>3795</v>
      </c>
      <c r="M448" s="94" t="s">
        <v>3797</v>
      </c>
      <c r="N448" s="95" t="s">
        <v>3729</v>
      </c>
      <c r="O448" s="98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spans="1:27" x14ac:dyDescent="0.25">
      <c r="A449" s="88"/>
      <c r="B449" s="30"/>
      <c r="C449" s="30"/>
      <c r="D449" s="30"/>
      <c r="E449" s="30"/>
      <c r="F449" s="88"/>
      <c r="G449" s="88"/>
      <c r="H449" s="30"/>
      <c r="I449" s="96"/>
      <c r="J449" s="97"/>
      <c r="K449" s="93">
        <v>155.19999999999999</v>
      </c>
      <c r="L449" s="93" t="s">
        <v>3798</v>
      </c>
      <c r="M449" s="94" t="s">
        <v>3799</v>
      </c>
      <c r="N449" s="95" t="s">
        <v>3729</v>
      </c>
      <c r="O449" s="98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spans="1:27" x14ac:dyDescent="0.25">
      <c r="A450" s="88"/>
      <c r="B450" s="30"/>
      <c r="C450" s="30"/>
      <c r="D450" s="30"/>
      <c r="E450" s="30"/>
      <c r="F450" s="88"/>
      <c r="G450" s="88"/>
      <c r="H450" s="30"/>
      <c r="I450" s="96"/>
      <c r="J450" s="97"/>
      <c r="K450" s="93">
        <v>155.1</v>
      </c>
      <c r="L450" s="93" t="s">
        <v>3798</v>
      </c>
      <c r="M450" s="94" t="s">
        <v>3800</v>
      </c>
      <c r="N450" s="95" t="s">
        <v>3583</v>
      </c>
      <c r="O450" s="98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spans="1:27" x14ac:dyDescent="0.25">
      <c r="A451" s="88"/>
      <c r="B451" s="30"/>
      <c r="C451" s="30"/>
      <c r="D451" s="30"/>
      <c r="E451" s="30"/>
      <c r="F451" s="88"/>
      <c r="G451" s="88"/>
      <c r="H451" s="30"/>
      <c r="I451" s="96"/>
      <c r="J451" s="97"/>
      <c r="K451" s="93">
        <v>150</v>
      </c>
      <c r="L451" s="93" t="s">
        <v>3805</v>
      </c>
      <c r="M451" s="94" t="s">
        <v>3806</v>
      </c>
      <c r="N451" s="95" t="s">
        <v>3594</v>
      </c>
      <c r="O451" s="98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spans="1:27" x14ac:dyDescent="0.25">
      <c r="A452" s="88"/>
      <c r="B452" s="30"/>
      <c r="C452" s="30"/>
      <c r="D452" s="30"/>
      <c r="E452" s="30"/>
      <c r="F452" s="88"/>
      <c r="G452" s="88"/>
      <c r="H452" s="30"/>
      <c r="I452" s="96"/>
      <c r="J452" s="97"/>
      <c r="K452" s="93">
        <v>145</v>
      </c>
      <c r="L452" s="93" t="s">
        <v>3552</v>
      </c>
      <c r="M452" s="94" t="s">
        <v>4191</v>
      </c>
      <c r="N452" s="95" t="s">
        <v>3553</v>
      </c>
      <c r="O452" s="98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spans="1:27" x14ac:dyDescent="0.25">
      <c r="A453" s="88"/>
      <c r="B453" s="30"/>
      <c r="C453" s="30"/>
      <c r="D453" s="30"/>
      <c r="E453" s="30"/>
      <c r="F453" s="88"/>
      <c r="G453" s="88"/>
      <c r="H453" s="30"/>
      <c r="I453" s="96"/>
      <c r="J453" s="97"/>
      <c r="K453" s="93">
        <v>144</v>
      </c>
      <c r="L453" s="93" t="s">
        <v>3813</v>
      </c>
      <c r="M453" s="94" t="s">
        <v>3814</v>
      </c>
      <c r="N453" s="95" t="s">
        <v>3815</v>
      </c>
      <c r="O453" s="98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spans="1:27" x14ac:dyDescent="0.25">
      <c r="A454" s="88"/>
      <c r="B454" s="30"/>
      <c r="C454" s="30"/>
      <c r="D454" s="30"/>
      <c r="E454" s="30"/>
      <c r="F454" s="88"/>
      <c r="G454" s="88"/>
      <c r="H454" s="30"/>
      <c r="I454" s="96"/>
      <c r="J454" s="97"/>
      <c r="K454" s="93">
        <v>143</v>
      </c>
      <c r="L454" s="93" t="s">
        <v>3816</v>
      </c>
      <c r="M454" s="94" t="s">
        <v>3817</v>
      </c>
      <c r="N454" s="95" t="s">
        <v>3594</v>
      </c>
      <c r="O454" s="98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spans="1:27" x14ac:dyDescent="0.25">
      <c r="A455" s="88"/>
      <c r="B455" s="30"/>
      <c r="C455" s="30"/>
      <c r="D455" s="30"/>
      <c r="E455" s="30"/>
      <c r="F455" s="88"/>
      <c r="G455" s="88"/>
      <c r="H455" s="30"/>
      <c r="I455" s="96"/>
      <c r="J455" s="97"/>
      <c r="K455" s="93">
        <v>142</v>
      </c>
      <c r="L455" s="93" t="s">
        <v>3818</v>
      </c>
      <c r="M455" s="94" t="s">
        <v>3819</v>
      </c>
      <c r="N455" s="95" t="s">
        <v>3571</v>
      </c>
      <c r="O455" s="98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spans="1:27" x14ac:dyDescent="0.25">
      <c r="A456" s="88"/>
      <c r="B456" s="30"/>
      <c r="C456" s="30"/>
      <c r="D456" s="30"/>
      <c r="E456" s="30"/>
      <c r="F456" s="88"/>
      <c r="G456" s="88"/>
      <c r="H456" s="30"/>
      <c r="I456" s="96"/>
      <c r="J456" s="97"/>
      <c r="K456" s="93">
        <v>141</v>
      </c>
      <c r="L456" s="93" t="s">
        <v>3820</v>
      </c>
      <c r="M456" s="94" t="s">
        <v>3821</v>
      </c>
      <c r="N456" s="95" t="s">
        <v>3622</v>
      </c>
      <c r="O456" s="98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spans="1:27" x14ac:dyDescent="0.25">
      <c r="A457" s="88"/>
      <c r="B457" s="30"/>
      <c r="C457" s="30"/>
      <c r="D457" s="30"/>
      <c r="E457" s="30"/>
      <c r="F457" s="88"/>
      <c r="G457" s="88"/>
      <c r="H457" s="30"/>
      <c r="I457" s="96"/>
      <c r="J457" s="97"/>
      <c r="K457" s="93">
        <v>140.19999999999999</v>
      </c>
      <c r="L457" s="93" t="s">
        <v>3822</v>
      </c>
      <c r="M457" s="94" t="s">
        <v>3823</v>
      </c>
      <c r="N457" s="95" t="s">
        <v>3729</v>
      </c>
      <c r="O457" s="98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spans="1:27" x14ac:dyDescent="0.25">
      <c r="A458" s="88"/>
      <c r="B458" s="30"/>
      <c r="C458" s="30"/>
      <c r="D458" s="30"/>
      <c r="E458" s="30"/>
      <c r="F458" s="88"/>
      <c r="G458" s="88"/>
      <c r="H458" s="30"/>
      <c r="I458" s="96"/>
      <c r="J458" s="97"/>
      <c r="K458" s="93">
        <v>140.1</v>
      </c>
      <c r="L458" s="93" t="s">
        <v>3822</v>
      </c>
      <c r="M458" s="94" t="s">
        <v>3824</v>
      </c>
      <c r="N458" s="95" t="s">
        <v>3558</v>
      </c>
      <c r="O458" s="98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spans="1:27" x14ac:dyDescent="0.25">
      <c r="A459" s="88"/>
      <c r="B459" s="30"/>
      <c r="C459" s="30"/>
      <c r="D459" s="30"/>
      <c r="E459" s="30"/>
      <c r="F459" s="88"/>
      <c r="G459" s="88"/>
      <c r="H459" s="30"/>
      <c r="I459" s="96"/>
      <c r="J459" s="97"/>
      <c r="K459" s="93">
        <v>137</v>
      </c>
      <c r="L459" s="93" t="s">
        <v>3829</v>
      </c>
      <c r="M459" s="94" t="s">
        <v>3830</v>
      </c>
      <c r="N459" s="95" t="s">
        <v>3583</v>
      </c>
      <c r="O459" s="98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spans="1:27" x14ac:dyDescent="0.25">
      <c r="A460" s="88"/>
      <c r="B460" s="30"/>
      <c r="C460" s="30"/>
      <c r="D460" s="30"/>
      <c r="E460" s="30"/>
      <c r="F460" s="88"/>
      <c r="G460" s="88"/>
      <c r="H460" s="30"/>
      <c r="I460" s="96"/>
      <c r="J460" s="97"/>
      <c r="K460" s="93">
        <v>136</v>
      </c>
      <c r="L460" s="93" t="s">
        <v>3831</v>
      </c>
      <c r="M460" s="94" t="s">
        <v>3832</v>
      </c>
      <c r="N460" s="95" t="s">
        <v>3833</v>
      </c>
      <c r="O460" s="98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spans="1:27" x14ac:dyDescent="0.25">
      <c r="A461" s="88"/>
      <c r="B461" s="30"/>
      <c r="C461" s="30"/>
      <c r="D461" s="30"/>
      <c r="E461" s="30"/>
      <c r="F461" s="88"/>
      <c r="G461" s="88"/>
      <c r="H461" s="30"/>
      <c r="I461" s="96"/>
      <c r="J461" s="97"/>
      <c r="K461" s="93">
        <v>135</v>
      </c>
      <c r="L461" s="93" t="s">
        <v>3834</v>
      </c>
      <c r="M461" s="94" t="s">
        <v>3835</v>
      </c>
      <c r="N461" s="95" t="s">
        <v>3588</v>
      </c>
      <c r="O461" s="98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spans="1:27" x14ac:dyDescent="0.25">
      <c r="A462" s="88"/>
      <c r="B462" s="30"/>
      <c r="C462" s="30"/>
      <c r="D462" s="30"/>
      <c r="E462" s="30"/>
      <c r="F462" s="88"/>
      <c r="G462" s="88"/>
      <c r="H462" s="30"/>
      <c r="I462" s="96"/>
      <c r="J462" s="97"/>
      <c r="K462" s="93">
        <v>134.1</v>
      </c>
      <c r="L462" s="93" t="s">
        <v>4192</v>
      </c>
      <c r="M462" s="94" t="s">
        <v>4193</v>
      </c>
      <c r="N462" s="95" t="s">
        <v>3664</v>
      </c>
      <c r="O462" s="98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spans="1:27" x14ac:dyDescent="0.25">
      <c r="A463" s="88"/>
      <c r="B463" s="30"/>
      <c r="C463" s="30"/>
      <c r="D463" s="30"/>
      <c r="E463" s="30"/>
      <c r="F463" s="88"/>
      <c r="G463" s="88"/>
      <c r="H463" s="30"/>
      <c r="I463" s="96"/>
      <c r="J463" s="97"/>
      <c r="K463" s="93">
        <v>133</v>
      </c>
      <c r="L463" s="93" t="s">
        <v>3838</v>
      </c>
      <c r="M463" s="94" t="s">
        <v>3839</v>
      </c>
      <c r="N463" s="95" t="s">
        <v>3622</v>
      </c>
      <c r="O463" s="98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spans="1:27" x14ac:dyDescent="0.25">
      <c r="A464" s="88"/>
      <c r="B464" s="30"/>
      <c r="C464" s="30"/>
      <c r="D464" s="30"/>
      <c r="E464" s="30"/>
      <c r="F464" s="88"/>
      <c r="G464" s="88"/>
      <c r="H464" s="30"/>
      <c r="I464" s="96"/>
      <c r="J464" s="97"/>
      <c r="K464" s="93">
        <v>132</v>
      </c>
      <c r="L464" s="93" t="s">
        <v>3840</v>
      </c>
      <c r="M464" s="94" t="s">
        <v>3841</v>
      </c>
      <c r="N464" s="95" t="s">
        <v>3615</v>
      </c>
      <c r="O464" s="98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spans="1:27" x14ac:dyDescent="0.25">
      <c r="A465" s="88"/>
      <c r="B465" s="30"/>
      <c r="C465" s="30"/>
      <c r="D465" s="30"/>
      <c r="E465" s="30"/>
      <c r="F465" s="88"/>
      <c r="G465" s="88"/>
      <c r="H465" s="30"/>
      <c r="I465" s="96"/>
      <c r="J465" s="97"/>
      <c r="K465" s="93">
        <v>128.19999999999999</v>
      </c>
      <c r="L465" s="93" t="s">
        <v>3849</v>
      </c>
      <c r="M465" s="94" t="s">
        <v>3850</v>
      </c>
      <c r="N465" s="95" t="s">
        <v>3729</v>
      </c>
      <c r="O465" s="98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spans="1:27" x14ac:dyDescent="0.25">
      <c r="A466" s="88"/>
      <c r="B466" s="30"/>
      <c r="C466" s="30"/>
      <c r="D466" s="30"/>
      <c r="E466" s="30"/>
      <c r="F466" s="88"/>
      <c r="G466" s="88"/>
      <c r="H466" s="30"/>
      <c r="I466" s="96"/>
      <c r="J466" s="97"/>
      <c r="K466" s="93">
        <v>128.1</v>
      </c>
      <c r="L466" s="93" t="s">
        <v>3849</v>
      </c>
      <c r="M466" s="94" t="s">
        <v>4194</v>
      </c>
      <c r="N466" s="95" t="s">
        <v>3558</v>
      </c>
      <c r="O466" s="98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spans="1:27" x14ac:dyDescent="0.25">
      <c r="A467" s="88"/>
      <c r="B467" s="30"/>
      <c r="C467" s="30"/>
      <c r="D467" s="30"/>
      <c r="E467" s="30"/>
      <c r="F467" s="88"/>
      <c r="G467" s="88"/>
      <c r="H467" s="30"/>
      <c r="I467" s="96"/>
      <c r="J467" s="97"/>
      <c r="K467" s="93">
        <v>126</v>
      </c>
      <c r="L467" s="93" t="s">
        <v>3855</v>
      </c>
      <c r="M467" s="94" t="s">
        <v>3856</v>
      </c>
      <c r="N467" s="95" t="s">
        <v>3833</v>
      </c>
      <c r="O467" s="98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spans="1:27" x14ac:dyDescent="0.25">
      <c r="A468" s="88"/>
      <c r="B468" s="30"/>
      <c r="C468" s="30"/>
      <c r="D468" s="30"/>
      <c r="E468" s="30"/>
      <c r="F468" s="88"/>
      <c r="G468" s="88"/>
      <c r="H468" s="30"/>
      <c r="I468" s="96"/>
      <c r="J468" s="97"/>
      <c r="K468" s="93">
        <v>122</v>
      </c>
      <c r="L468" s="93" t="s">
        <v>3863</v>
      </c>
      <c r="M468" s="94" t="s">
        <v>3864</v>
      </c>
      <c r="N468" s="95" t="s">
        <v>3585</v>
      </c>
      <c r="O468" s="98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spans="1:27" x14ac:dyDescent="0.25">
      <c r="A469" s="88"/>
      <c r="B469" s="30"/>
      <c r="C469" s="30"/>
      <c r="D469" s="30"/>
      <c r="E469" s="30"/>
      <c r="F469" s="88"/>
      <c r="G469" s="88"/>
      <c r="H469" s="30"/>
      <c r="I469" s="96"/>
      <c r="J469" s="97"/>
      <c r="K469" s="93">
        <v>107</v>
      </c>
      <c r="L469" s="93" t="s">
        <v>3888</v>
      </c>
      <c r="M469" s="94" t="s">
        <v>3889</v>
      </c>
      <c r="N469" s="95" t="s">
        <v>3553</v>
      </c>
      <c r="O469" s="98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spans="1:27" x14ac:dyDescent="0.25">
      <c r="A470" s="88"/>
      <c r="B470" s="30"/>
      <c r="C470" s="30"/>
      <c r="D470" s="30"/>
      <c r="E470" s="30"/>
      <c r="F470" s="88"/>
      <c r="G470" s="88"/>
      <c r="H470" s="30"/>
      <c r="I470" s="96"/>
      <c r="J470" s="97"/>
      <c r="K470" s="93">
        <v>106</v>
      </c>
      <c r="L470" s="93" t="s">
        <v>3890</v>
      </c>
      <c r="M470" s="94" t="s">
        <v>3891</v>
      </c>
      <c r="N470" s="95" t="s">
        <v>3580</v>
      </c>
      <c r="O470" s="98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spans="1:27" x14ac:dyDescent="0.25">
      <c r="A471" s="88"/>
      <c r="B471" s="30"/>
      <c r="C471" s="30"/>
      <c r="D471" s="30"/>
      <c r="E471" s="30"/>
      <c r="F471" s="88"/>
      <c r="G471" s="88"/>
      <c r="H471" s="30"/>
      <c r="I471" s="96"/>
      <c r="J471" s="97"/>
      <c r="K471" s="93">
        <v>101.1</v>
      </c>
      <c r="L471" s="93" t="s">
        <v>4195</v>
      </c>
      <c r="M471" s="94" t="s">
        <v>4196</v>
      </c>
      <c r="N471" s="95" t="s">
        <v>3729</v>
      </c>
      <c r="O471" s="98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spans="1:27" x14ac:dyDescent="0.25">
      <c r="A472" s="88"/>
      <c r="B472" s="30"/>
      <c r="C472" s="30"/>
      <c r="D472" s="30"/>
      <c r="E472" s="30"/>
      <c r="F472" s="88"/>
      <c r="G472" s="88"/>
      <c r="H472" s="30"/>
      <c r="I472" s="96"/>
      <c r="J472" s="97"/>
      <c r="K472" s="93">
        <v>100.9</v>
      </c>
      <c r="L472" s="93" t="s">
        <v>3901</v>
      </c>
      <c r="M472" s="94" t="s">
        <v>3902</v>
      </c>
      <c r="N472" s="95" t="s">
        <v>3729</v>
      </c>
      <c r="O472" s="98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spans="1:27" x14ac:dyDescent="0.25">
      <c r="A473" s="88"/>
      <c r="B473" s="30"/>
      <c r="C473" s="30"/>
      <c r="D473" s="30"/>
      <c r="E473" s="30"/>
      <c r="F473" s="88"/>
      <c r="G473" s="88"/>
      <c r="H473" s="30"/>
      <c r="I473" s="96"/>
      <c r="J473" s="97"/>
      <c r="K473" s="93">
        <v>100.8</v>
      </c>
      <c r="L473" s="93" t="s">
        <v>4197</v>
      </c>
      <c r="M473" s="94" t="s">
        <v>4198</v>
      </c>
      <c r="N473" s="95" t="s">
        <v>3729</v>
      </c>
      <c r="O473" s="98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spans="1:27" x14ac:dyDescent="0.25">
      <c r="A474" s="88"/>
      <c r="B474" s="30"/>
      <c r="C474" s="30"/>
      <c r="D474" s="30"/>
      <c r="E474" s="30"/>
      <c r="F474" s="88"/>
      <c r="G474" s="88"/>
      <c r="H474" s="30"/>
      <c r="I474" s="96"/>
      <c r="J474" s="97"/>
      <c r="K474" s="93">
        <v>100.7</v>
      </c>
      <c r="L474" s="93" t="s">
        <v>3905</v>
      </c>
      <c r="M474" s="94" t="s">
        <v>3906</v>
      </c>
      <c r="N474" s="95" t="s">
        <v>3729</v>
      </c>
      <c r="O474" s="98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spans="1:27" x14ac:dyDescent="0.25">
      <c r="A475" s="88"/>
      <c r="B475" s="30"/>
      <c r="C475" s="30"/>
      <c r="D475" s="30"/>
      <c r="E475" s="30"/>
      <c r="F475" s="88"/>
      <c r="G475" s="88"/>
      <c r="H475" s="30"/>
      <c r="I475" s="96"/>
      <c r="J475" s="97"/>
      <c r="K475" s="93">
        <v>100.6</v>
      </c>
      <c r="L475" s="93" t="s">
        <v>3907</v>
      </c>
      <c r="M475" s="94" t="s">
        <v>3908</v>
      </c>
      <c r="N475" s="95" t="s">
        <v>3729</v>
      </c>
      <c r="O475" s="98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spans="1:27" x14ac:dyDescent="0.25">
      <c r="A476" s="88"/>
      <c r="B476" s="30"/>
      <c r="C476" s="30"/>
      <c r="D476" s="30"/>
      <c r="E476" s="30"/>
      <c r="F476" s="88"/>
      <c r="G476" s="88"/>
      <c r="H476" s="30"/>
      <c r="I476" s="96"/>
      <c r="J476" s="97"/>
      <c r="K476" s="93">
        <v>100.5</v>
      </c>
      <c r="L476" s="93" t="s">
        <v>3909</v>
      </c>
      <c r="M476" s="94" t="s">
        <v>3910</v>
      </c>
      <c r="N476" s="95" t="s">
        <v>3729</v>
      </c>
      <c r="O476" s="98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spans="1:27" x14ac:dyDescent="0.25">
      <c r="A477" s="88"/>
      <c r="B477" s="30"/>
      <c r="C477" s="30"/>
      <c r="D477" s="30"/>
      <c r="E477" s="30"/>
      <c r="F477" s="88"/>
      <c r="G477" s="88"/>
      <c r="H477" s="30"/>
      <c r="I477" s="96"/>
      <c r="J477" s="97"/>
      <c r="K477" s="93">
        <v>100.4</v>
      </c>
      <c r="L477" s="93" t="s">
        <v>3901</v>
      </c>
      <c r="M477" s="94" t="s">
        <v>3911</v>
      </c>
      <c r="N477" s="95" t="s">
        <v>3729</v>
      </c>
      <c r="O477" s="98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spans="1:27" x14ac:dyDescent="0.25">
      <c r="A478" s="88"/>
      <c r="B478" s="30"/>
      <c r="C478" s="30"/>
      <c r="D478" s="30"/>
      <c r="E478" s="30"/>
      <c r="F478" s="88"/>
      <c r="G478" s="88"/>
      <c r="H478" s="30"/>
      <c r="I478" s="96"/>
      <c r="J478" s="97"/>
      <c r="K478" s="93">
        <v>100.3</v>
      </c>
      <c r="L478" s="93" t="s">
        <v>4197</v>
      </c>
      <c r="M478" s="94" t="s">
        <v>4199</v>
      </c>
      <c r="N478" s="95" t="s">
        <v>3729</v>
      </c>
      <c r="O478" s="98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spans="1:27" x14ac:dyDescent="0.25">
      <c r="A479" s="88"/>
      <c r="B479" s="30"/>
      <c r="C479" s="30"/>
      <c r="D479" s="30"/>
      <c r="E479" s="30"/>
      <c r="F479" s="88"/>
      <c r="G479" s="88"/>
      <c r="H479" s="30"/>
      <c r="I479" s="96"/>
      <c r="J479" s="97"/>
      <c r="K479" s="93">
        <v>100.2</v>
      </c>
      <c r="L479" s="93" t="s">
        <v>3905</v>
      </c>
      <c r="M479" s="94" t="s">
        <v>3913</v>
      </c>
      <c r="N479" s="95" t="s">
        <v>3729</v>
      </c>
      <c r="O479" s="98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spans="1:27" x14ac:dyDescent="0.25">
      <c r="A480" s="88"/>
      <c r="B480" s="30"/>
      <c r="C480" s="30"/>
      <c r="D480" s="30"/>
      <c r="E480" s="30"/>
      <c r="F480" s="88"/>
      <c r="G480" s="88"/>
      <c r="H480" s="30"/>
      <c r="I480" s="96"/>
      <c r="J480" s="97"/>
      <c r="K480" s="93">
        <v>100.1</v>
      </c>
      <c r="L480" s="93" t="s">
        <v>3907</v>
      </c>
      <c r="M480" s="94" t="s">
        <v>3914</v>
      </c>
      <c r="N480" s="95" t="s">
        <v>3729</v>
      </c>
      <c r="O480" s="98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spans="1:27" x14ac:dyDescent="0.25">
      <c r="A481" s="88"/>
      <c r="B481" s="30"/>
      <c r="C481" s="30"/>
      <c r="D481" s="30"/>
      <c r="E481" s="30"/>
      <c r="F481" s="88"/>
      <c r="G481" s="88"/>
      <c r="H481" s="30"/>
      <c r="I481" s="96"/>
      <c r="J481" s="97"/>
      <c r="K481" s="93">
        <v>100</v>
      </c>
      <c r="L481" s="93" t="s">
        <v>3909</v>
      </c>
      <c r="M481" s="94" t="s">
        <v>3915</v>
      </c>
      <c r="N481" s="95" t="s">
        <v>3729</v>
      </c>
      <c r="O481" s="98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spans="1:27" x14ac:dyDescent="0.25">
      <c r="A482" s="88"/>
      <c r="B482" s="30"/>
      <c r="C482" s="30"/>
      <c r="D482" s="30"/>
      <c r="E482" s="30"/>
      <c r="F482" s="88"/>
      <c r="G482" s="88"/>
      <c r="H482" s="30"/>
      <c r="I482" s="96"/>
      <c r="J482" s="97"/>
      <c r="K482" s="93">
        <v>93</v>
      </c>
      <c r="L482" s="93" t="s">
        <v>3926</v>
      </c>
      <c r="M482" s="94" t="s">
        <v>3927</v>
      </c>
      <c r="N482" s="95" t="s">
        <v>3588</v>
      </c>
      <c r="O482" s="98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spans="1:27" x14ac:dyDescent="0.25">
      <c r="A483" s="88"/>
      <c r="B483" s="30"/>
      <c r="C483" s="30"/>
      <c r="D483" s="30"/>
      <c r="E483" s="30"/>
      <c r="F483" s="88"/>
      <c r="G483" s="88"/>
      <c r="H483" s="30"/>
      <c r="I483" s="96"/>
      <c r="J483" s="97"/>
      <c r="K483" s="93">
        <v>92</v>
      </c>
      <c r="L483" s="93" t="s">
        <v>3928</v>
      </c>
      <c r="M483" s="94" t="s">
        <v>3929</v>
      </c>
      <c r="N483" s="95" t="s">
        <v>3588</v>
      </c>
      <c r="O483" s="98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spans="1:27" x14ac:dyDescent="0.25">
      <c r="A484" s="88"/>
      <c r="B484" s="30"/>
      <c r="C484" s="30"/>
      <c r="D484" s="30"/>
      <c r="E484" s="30"/>
      <c r="F484" s="88"/>
      <c r="G484" s="88"/>
      <c r="H484" s="30"/>
      <c r="I484" s="96"/>
      <c r="J484" s="97"/>
      <c r="K484" s="93">
        <v>91</v>
      </c>
      <c r="L484" s="93" t="s">
        <v>3930</v>
      </c>
      <c r="M484" s="94" t="s">
        <v>3931</v>
      </c>
      <c r="N484" s="95" t="s">
        <v>3815</v>
      </c>
      <c r="O484" s="98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spans="1:27" x14ac:dyDescent="0.25">
      <c r="A485" s="88"/>
      <c r="B485" s="30"/>
      <c r="C485" s="30"/>
      <c r="D485" s="30"/>
      <c r="E485" s="30"/>
      <c r="F485" s="88"/>
      <c r="G485" s="88"/>
      <c r="H485" s="30"/>
      <c r="I485" s="96"/>
      <c r="J485" s="97"/>
      <c r="K485" s="93">
        <v>86</v>
      </c>
      <c r="L485" s="93" t="s">
        <v>3937</v>
      </c>
      <c r="M485" s="94" t="s">
        <v>3938</v>
      </c>
      <c r="N485" s="95" t="s">
        <v>3583</v>
      </c>
      <c r="O485" s="98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spans="1:27" x14ac:dyDescent="0.25">
      <c r="A486" s="88"/>
      <c r="B486" s="30"/>
      <c r="C486" s="30"/>
      <c r="D486" s="30"/>
      <c r="E486" s="30"/>
      <c r="F486" s="88"/>
      <c r="G486" s="88"/>
      <c r="H486" s="30"/>
      <c r="I486" s="96"/>
      <c r="J486" s="97"/>
      <c r="K486" s="93">
        <v>66</v>
      </c>
      <c r="L486" s="93" t="s">
        <v>3952</v>
      </c>
      <c r="M486" s="94" t="s">
        <v>3953</v>
      </c>
      <c r="N486" s="95" t="s">
        <v>3562</v>
      </c>
      <c r="O486" s="98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spans="1:27" x14ac:dyDescent="0.25">
      <c r="A487" s="88"/>
      <c r="B487" s="30"/>
      <c r="C487" s="30"/>
      <c r="D487" s="30"/>
      <c r="E487" s="30"/>
      <c r="F487" s="88"/>
      <c r="G487" s="88"/>
      <c r="H487" s="30"/>
      <c r="I487" s="96"/>
      <c r="J487" s="97"/>
      <c r="K487" s="93">
        <v>62</v>
      </c>
      <c r="L487" s="93" t="s">
        <v>3954</v>
      </c>
      <c r="M487" s="94" t="s">
        <v>3955</v>
      </c>
      <c r="N487" s="95" t="s">
        <v>3615</v>
      </c>
      <c r="O487" s="98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spans="1:27" x14ac:dyDescent="0.25">
      <c r="A488" s="88"/>
      <c r="B488" s="30"/>
      <c r="C488" s="30"/>
      <c r="D488" s="30"/>
      <c r="E488" s="30"/>
      <c r="F488" s="88"/>
      <c r="G488" s="88"/>
      <c r="H488" s="30"/>
      <c r="I488" s="96"/>
      <c r="J488" s="97"/>
      <c r="K488" s="93">
        <v>55</v>
      </c>
      <c r="L488" s="93" t="s">
        <v>3956</v>
      </c>
      <c r="M488" s="94" t="s">
        <v>3957</v>
      </c>
      <c r="N488" s="95" t="s">
        <v>3868</v>
      </c>
      <c r="O488" s="98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spans="1:27" x14ac:dyDescent="0.25">
      <c r="A489" s="88"/>
      <c r="B489" s="30"/>
      <c r="C489" s="30"/>
      <c r="D489" s="30"/>
      <c r="E489" s="30"/>
      <c r="F489" s="88"/>
      <c r="G489" s="88"/>
      <c r="H489" s="30"/>
      <c r="I489" s="96"/>
      <c r="J489" s="97"/>
      <c r="K489" s="93">
        <v>48</v>
      </c>
      <c r="L489" s="93" t="s">
        <v>3958</v>
      </c>
      <c r="M489" s="94" t="s">
        <v>3959</v>
      </c>
      <c r="N489" s="95" t="s">
        <v>3594</v>
      </c>
      <c r="O489" s="98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spans="1:27" x14ac:dyDescent="0.25">
      <c r="A490" s="88"/>
      <c r="B490" s="30"/>
      <c r="C490" s="30"/>
      <c r="D490" s="30"/>
      <c r="E490" s="30"/>
      <c r="F490" s="88"/>
      <c r="G490" s="88"/>
      <c r="H490" s="30"/>
      <c r="I490" s="96"/>
      <c r="J490" s="97"/>
      <c r="K490" s="93">
        <v>41</v>
      </c>
      <c r="L490" s="93" t="s">
        <v>3962</v>
      </c>
      <c r="M490" s="94" t="s">
        <v>3963</v>
      </c>
      <c r="N490" s="95" t="s">
        <v>3671</v>
      </c>
      <c r="O490" s="98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spans="1:27" x14ac:dyDescent="0.25">
      <c r="A491" s="88"/>
      <c r="B491" s="30"/>
      <c r="C491" s="30"/>
      <c r="D491" s="30"/>
      <c r="E491" s="30"/>
      <c r="F491" s="88"/>
      <c r="G491" s="88"/>
      <c r="H491" s="30"/>
      <c r="I491" s="96"/>
      <c r="J491" s="97"/>
      <c r="K491" s="93">
        <v>29</v>
      </c>
      <c r="L491" s="93" t="s">
        <v>3967</v>
      </c>
      <c r="M491" s="94" t="s">
        <v>3968</v>
      </c>
      <c r="N491" s="95" t="s">
        <v>4200</v>
      </c>
      <c r="O491" s="98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spans="1:27" x14ac:dyDescent="0.25">
      <c r="A492" s="88"/>
      <c r="B492" s="30"/>
      <c r="C492" s="30"/>
      <c r="D492" s="30"/>
      <c r="E492" s="30"/>
      <c r="F492" s="88"/>
      <c r="G492" s="88"/>
      <c r="H492" s="30"/>
      <c r="I492" s="96"/>
      <c r="J492" s="97"/>
      <c r="K492" s="93">
        <v>21.2</v>
      </c>
      <c r="L492" s="93" t="s">
        <v>3971</v>
      </c>
      <c r="M492" s="94" t="s">
        <v>3972</v>
      </c>
      <c r="N492" s="95" t="s">
        <v>3615</v>
      </c>
      <c r="O492" s="98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spans="1:27" x14ac:dyDescent="0.25">
      <c r="A493" s="88"/>
      <c r="B493" s="30"/>
      <c r="C493" s="30"/>
      <c r="D493" s="30"/>
      <c r="E493" s="30"/>
      <c r="F493" s="88"/>
      <c r="G493" s="88"/>
      <c r="H493" s="30"/>
      <c r="I493" s="96"/>
      <c r="J493" s="97"/>
      <c r="K493" s="93">
        <v>21</v>
      </c>
      <c r="L493" s="93" t="s">
        <v>3971</v>
      </c>
      <c r="M493" s="94" t="s">
        <v>3974</v>
      </c>
      <c r="N493" s="95" t="s">
        <v>3615</v>
      </c>
      <c r="O493" s="98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spans="1:27" x14ac:dyDescent="0.25">
      <c r="A494" s="88"/>
      <c r="B494" s="30"/>
      <c r="C494" s="30"/>
      <c r="D494" s="30"/>
      <c r="E494" s="30"/>
      <c r="F494" s="88"/>
      <c r="G494" s="88"/>
      <c r="H494" s="30"/>
      <c r="I494" s="96"/>
      <c r="J494" s="97"/>
      <c r="K494" s="93">
        <v>15</v>
      </c>
      <c r="L494" s="93" t="s">
        <v>3975</v>
      </c>
      <c r="M494" s="94" t="s">
        <v>3976</v>
      </c>
      <c r="N494" s="95" t="s">
        <v>3594</v>
      </c>
      <c r="O494" s="98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spans="1:27" x14ac:dyDescent="0.25">
      <c r="A495" s="88"/>
      <c r="B495" s="30"/>
      <c r="C495" s="30"/>
      <c r="D495" s="30"/>
      <c r="E495" s="30"/>
      <c r="F495" s="88"/>
      <c r="G495" s="88"/>
      <c r="H495" s="30"/>
      <c r="I495" s="96"/>
      <c r="J495" s="97"/>
      <c r="K495" s="93">
        <v>14</v>
      </c>
      <c r="L495" s="93" t="s">
        <v>3977</v>
      </c>
      <c r="M495" s="94" t="s">
        <v>3978</v>
      </c>
      <c r="N495" s="95" t="s">
        <v>3604</v>
      </c>
      <c r="O495" s="98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spans="1:27" x14ac:dyDescent="0.25">
      <c r="A496" s="88"/>
      <c r="B496" s="30"/>
      <c r="C496" s="30"/>
      <c r="D496" s="30"/>
      <c r="E496" s="30"/>
      <c r="F496" s="88"/>
      <c r="G496" s="88"/>
      <c r="H496" s="30"/>
      <c r="I496" s="96"/>
      <c r="J496" s="97"/>
      <c r="K496" s="93">
        <v>5</v>
      </c>
      <c r="L496" s="93" t="s">
        <v>3985</v>
      </c>
      <c r="M496" s="94" t="s">
        <v>3986</v>
      </c>
      <c r="N496" s="95" t="s">
        <v>3615</v>
      </c>
      <c r="O496" s="98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spans="1:27" x14ac:dyDescent="0.25">
      <c r="A497" s="88"/>
      <c r="B497" s="30"/>
      <c r="C497" s="30"/>
      <c r="D497" s="30"/>
      <c r="E497" s="30"/>
      <c r="F497" s="88"/>
      <c r="G497" s="88"/>
      <c r="H497" s="30"/>
      <c r="I497" s="96"/>
      <c r="J497" s="97"/>
      <c r="K497" s="93">
        <v>3</v>
      </c>
      <c r="L497" s="93" t="s">
        <v>3565</v>
      </c>
      <c r="M497" s="94" t="s">
        <v>4201</v>
      </c>
      <c r="N497" s="101"/>
      <c r="O497" s="98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spans="1:27" x14ac:dyDescent="0.25">
      <c r="A498" s="88"/>
      <c r="B498" s="30"/>
      <c r="C498" s="30"/>
      <c r="D498" s="30"/>
      <c r="E498" s="30"/>
      <c r="F498" s="88"/>
      <c r="G498" s="88"/>
      <c r="H498" s="30"/>
      <c r="I498" s="96"/>
      <c r="J498" s="97"/>
      <c r="K498" s="93"/>
      <c r="L498" s="99"/>
      <c r="M498" s="100"/>
      <c r="N498" s="101"/>
      <c r="O498" s="98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spans="1:27" x14ac:dyDescent="0.25">
      <c r="A499" s="88"/>
      <c r="B499" s="30"/>
      <c r="C499" s="30"/>
      <c r="D499" s="30"/>
      <c r="E499" s="30"/>
      <c r="F499" s="88"/>
      <c r="G499" s="88"/>
      <c r="H499" s="30"/>
      <c r="I499" s="96"/>
      <c r="J499" s="97"/>
      <c r="K499" s="93"/>
      <c r="L499" s="99"/>
      <c r="M499" s="100"/>
      <c r="N499" s="101"/>
      <c r="O499" s="98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spans="1:27" x14ac:dyDescent="0.25">
      <c r="A500" s="88"/>
      <c r="B500" s="30"/>
      <c r="C500" s="30"/>
      <c r="D500" s="30"/>
      <c r="E500" s="30"/>
      <c r="F500" s="88"/>
      <c r="G500" s="88"/>
      <c r="H500" s="30"/>
      <c r="I500" s="96"/>
      <c r="J500" s="97"/>
      <c r="K500" s="102"/>
      <c r="L500" s="103"/>
      <c r="M500" s="104"/>
      <c r="N500" s="105"/>
      <c r="O500" s="98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spans="1:27" x14ac:dyDescent="0.25">
      <c r="A501" s="88"/>
      <c r="B501" s="30"/>
      <c r="C501" s="30"/>
      <c r="D501" s="30"/>
      <c r="E501" s="30"/>
      <c r="F501" s="88"/>
      <c r="G501" s="88"/>
      <c r="H501" s="30"/>
      <c r="I501" s="96"/>
      <c r="J501" s="97"/>
      <c r="K501" s="102"/>
      <c r="L501" s="103"/>
      <c r="M501" s="104"/>
      <c r="N501" s="105"/>
      <c r="O501" s="98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spans="1:27" x14ac:dyDescent="0.25">
      <c r="A502" s="88"/>
      <c r="B502" s="30"/>
      <c r="C502" s="30"/>
      <c r="D502" s="30"/>
      <c r="E502" s="30"/>
      <c r="F502" s="88"/>
      <c r="G502" s="88"/>
      <c r="H502" s="30"/>
      <c r="I502" s="96"/>
      <c r="J502" s="97"/>
      <c r="K502" s="102"/>
      <c r="L502" s="103"/>
      <c r="M502" s="104"/>
      <c r="N502" s="105"/>
      <c r="O502" s="98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spans="1:27" x14ac:dyDescent="0.25">
      <c r="A503" s="88"/>
      <c r="B503" s="30"/>
      <c r="C503" s="30"/>
      <c r="D503" s="30"/>
      <c r="E503" s="30"/>
      <c r="F503" s="88"/>
      <c r="G503" s="88"/>
      <c r="H503" s="30"/>
      <c r="I503" s="96"/>
      <c r="J503" s="97"/>
      <c r="K503" s="102"/>
      <c r="L503" s="103"/>
      <c r="M503" s="104"/>
      <c r="N503" s="105"/>
      <c r="O503" s="98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spans="1:27" x14ac:dyDescent="0.25">
      <c r="A504" s="88"/>
      <c r="B504" s="30"/>
      <c r="C504" s="30"/>
      <c r="D504" s="30"/>
      <c r="E504" s="30"/>
      <c r="F504" s="88"/>
      <c r="G504" s="88"/>
      <c r="H504" s="30"/>
      <c r="I504" s="96"/>
      <c r="J504" s="97"/>
      <c r="K504" s="102"/>
      <c r="L504" s="103"/>
      <c r="M504" s="104"/>
      <c r="N504" s="105"/>
      <c r="O504" s="98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spans="1:27" x14ac:dyDescent="0.25">
      <c r="A505" s="88"/>
      <c r="B505" s="30"/>
      <c r="C505" s="30"/>
      <c r="D505" s="30"/>
      <c r="E505" s="30"/>
      <c r="F505" s="88"/>
      <c r="G505" s="88"/>
      <c r="H505" s="30"/>
      <c r="I505" s="96"/>
      <c r="J505" s="97"/>
      <c r="K505" s="102"/>
      <c r="L505" s="103"/>
      <c r="M505" s="104"/>
      <c r="N505" s="105"/>
      <c r="O505" s="98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spans="1:27" x14ac:dyDescent="0.25">
      <c r="A506" s="88"/>
      <c r="B506" s="30"/>
      <c r="C506" s="30"/>
      <c r="D506" s="30"/>
      <c r="E506" s="30"/>
      <c r="F506" s="88"/>
      <c r="G506" s="88"/>
      <c r="H506" s="30"/>
      <c r="I506" s="96"/>
      <c r="J506" s="97"/>
      <c r="K506" s="102"/>
      <c r="L506" s="103"/>
      <c r="M506" s="104"/>
      <c r="N506" s="105"/>
      <c r="O506" s="98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spans="1:27" x14ac:dyDescent="0.25">
      <c r="A507" s="88"/>
      <c r="B507" s="30"/>
      <c r="C507" s="30"/>
      <c r="D507" s="30"/>
      <c r="E507" s="30"/>
      <c r="F507" s="88"/>
      <c r="G507" s="88"/>
      <c r="H507" s="30"/>
      <c r="I507" s="96"/>
      <c r="J507" s="97"/>
      <c r="K507" s="102"/>
      <c r="L507" s="103"/>
      <c r="M507" s="104"/>
      <c r="N507" s="105"/>
      <c r="O507" s="98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spans="1:27" x14ac:dyDescent="0.25">
      <c r="A508" s="88"/>
      <c r="B508" s="30"/>
      <c r="C508" s="30"/>
      <c r="D508" s="30"/>
      <c r="E508" s="30"/>
      <c r="F508" s="88"/>
      <c r="G508" s="88"/>
      <c r="H508" s="30"/>
      <c r="I508" s="96"/>
      <c r="J508" s="97"/>
      <c r="K508" s="102"/>
      <c r="L508" s="103"/>
      <c r="M508" s="104"/>
      <c r="N508" s="105"/>
      <c r="O508" s="98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spans="1:27" x14ac:dyDescent="0.25">
      <c r="A509" s="88"/>
      <c r="B509" s="30"/>
      <c r="C509" s="30"/>
      <c r="D509" s="30"/>
      <c r="E509" s="30"/>
      <c r="F509" s="88"/>
      <c r="G509" s="88"/>
      <c r="H509" s="30"/>
      <c r="I509" s="96"/>
      <c r="J509" s="97"/>
      <c r="K509" s="102"/>
      <c r="L509" s="103"/>
      <c r="M509" s="104"/>
      <c r="N509" s="105"/>
      <c r="O509" s="98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spans="1:27" x14ac:dyDescent="0.25">
      <c r="A510" s="88"/>
      <c r="B510" s="30"/>
      <c r="C510" s="30"/>
      <c r="D510" s="30"/>
      <c r="E510" s="30"/>
      <c r="F510" s="88"/>
      <c r="G510" s="88"/>
      <c r="H510" s="30"/>
      <c r="I510" s="96"/>
      <c r="J510" s="97"/>
      <c r="K510" s="102"/>
      <c r="L510" s="103"/>
      <c r="M510" s="104"/>
      <c r="N510" s="105"/>
      <c r="O510" s="98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spans="1:27" x14ac:dyDescent="0.25">
      <c r="A511" s="88"/>
      <c r="B511" s="30"/>
      <c r="C511" s="30"/>
      <c r="D511" s="30"/>
      <c r="E511" s="30"/>
      <c r="F511" s="88"/>
      <c r="G511" s="88"/>
      <c r="H511" s="30"/>
      <c r="I511" s="96"/>
      <c r="J511" s="97"/>
      <c r="K511" s="102"/>
      <c r="L511" s="103"/>
      <c r="M511" s="104"/>
      <c r="N511" s="105"/>
      <c r="O511" s="98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spans="1:27" x14ac:dyDescent="0.25">
      <c r="A512" s="88"/>
      <c r="B512" s="30"/>
      <c r="C512" s="30"/>
      <c r="D512" s="30"/>
      <c r="E512" s="30"/>
      <c r="F512" s="88"/>
      <c r="G512" s="88"/>
      <c r="H512" s="30"/>
      <c r="I512" s="96"/>
      <c r="J512" s="97"/>
      <c r="K512" s="102"/>
      <c r="L512" s="103"/>
      <c r="M512" s="104"/>
      <c r="N512" s="105"/>
      <c r="O512" s="98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spans="1:27" x14ac:dyDescent="0.25">
      <c r="A513" s="88"/>
      <c r="B513" s="30"/>
      <c r="C513" s="30"/>
      <c r="D513" s="30"/>
      <c r="E513" s="30"/>
      <c r="F513" s="88"/>
      <c r="G513" s="88"/>
      <c r="H513" s="30"/>
      <c r="I513" s="96"/>
      <c r="J513" s="97"/>
      <c r="K513" s="102"/>
      <c r="L513" s="103"/>
      <c r="M513" s="104"/>
      <c r="N513" s="105"/>
      <c r="O513" s="98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spans="1:27" x14ac:dyDescent="0.25">
      <c r="A514" s="88"/>
      <c r="B514" s="30"/>
      <c r="C514" s="30"/>
      <c r="D514" s="30"/>
      <c r="E514" s="30"/>
      <c r="F514" s="88"/>
      <c r="G514" s="88"/>
      <c r="H514" s="30"/>
      <c r="I514" s="96"/>
      <c r="J514" s="97"/>
      <c r="K514" s="102"/>
      <c r="L514" s="103"/>
      <c r="M514" s="104"/>
      <c r="N514" s="105"/>
      <c r="O514" s="98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spans="1:27" x14ac:dyDescent="0.25">
      <c r="A515" s="88"/>
      <c r="B515" s="30"/>
      <c r="C515" s="30"/>
      <c r="D515" s="30"/>
      <c r="E515" s="30"/>
      <c r="F515" s="88"/>
      <c r="G515" s="88"/>
      <c r="H515" s="30"/>
      <c r="I515" s="96"/>
      <c r="J515" s="97"/>
      <c r="K515" s="102"/>
      <c r="L515" s="103"/>
      <c r="M515" s="104"/>
      <c r="N515" s="105"/>
      <c r="O515" s="98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spans="1:27" x14ac:dyDescent="0.25">
      <c r="A516" s="88"/>
      <c r="B516" s="30"/>
      <c r="C516" s="30"/>
      <c r="D516" s="30"/>
      <c r="E516" s="30"/>
      <c r="F516" s="88"/>
      <c r="G516" s="88"/>
      <c r="H516" s="30"/>
      <c r="I516" s="96"/>
      <c r="J516" s="97"/>
      <c r="K516" s="102"/>
      <c r="L516" s="103"/>
      <c r="M516" s="104"/>
      <c r="N516" s="105"/>
      <c r="O516" s="98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spans="1:27" x14ac:dyDescent="0.25">
      <c r="A517" s="88"/>
      <c r="B517" s="30"/>
      <c r="C517" s="30"/>
      <c r="D517" s="30"/>
      <c r="E517" s="30"/>
      <c r="F517" s="88"/>
      <c r="G517" s="88"/>
      <c r="H517" s="30"/>
      <c r="I517" s="96"/>
      <c r="J517" s="97"/>
      <c r="K517" s="102"/>
      <c r="L517" s="103"/>
      <c r="M517" s="104"/>
      <c r="N517" s="105"/>
      <c r="O517" s="98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spans="1:27" x14ac:dyDescent="0.25">
      <c r="A518" s="88"/>
      <c r="B518" s="30"/>
      <c r="C518" s="30"/>
      <c r="D518" s="30"/>
      <c r="E518" s="30"/>
      <c r="F518" s="88"/>
      <c r="G518" s="88"/>
      <c r="H518" s="30"/>
      <c r="I518" s="96"/>
      <c r="J518" s="97"/>
      <c r="K518" s="102"/>
      <c r="L518" s="103"/>
      <c r="M518" s="104"/>
      <c r="N518" s="105"/>
      <c r="O518" s="98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spans="1:27" x14ac:dyDescent="0.25">
      <c r="A519" s="88"/>
      <c r="B519" s="30"/>
      <c r="C519" s="30"/>
      <c r="D519" s="30"/>
      <c r="E519" s="30"/>
      <c r="F519" s="88"/>
      <c r="G519" s="88"/>
      <c r="H519" s="30"/>
      <c r="I519" s="96"/>
      <c r="J519" s="97"/>
      <c r="K519" s="102"/>
      <c r="L519" s="103"/>
      <c r="M519" s="104"/>
      <c r="N519" s="105"/>
      <c r="O519" s="98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spans="1:27" x14ac:dyDescent="0.25">
      <c r="A520" s="88"/>
      <c r="B520" s="30"/>
      <c r="C520" s="30"/>
      <c r="D520" s="30"/>
      <c r="E520" s="30"/>
      <c r="F520" s="88"/>
      <c r="G520" s="88"/>
      <c r="H520" s="30"/>
      <c r="I520" s="96"/>
      <c r="J520" s="97"/>
      <c r="K520" s="102"/>
      <c r="L520" s="103"/>
      <c r="M520" s="104"/>
      <c r="N520" s="105"/>
      <c r="O520" s="98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spans="1:27" x14ac:dyDescent="0.25">
      <c r="A521" s="88"/>
      <c r="B521" s="30"/>
      <c r="C521" s="30"/>
      <c r="D521" s="30"/>
      <c r="E521" s="30"/>
      <c r="F521" s="88"/>
      <c r="G521" s="88"/>
      <c r="H521" s="30"/>
      <c r="I521" s="96"/>
      <c r="J521" s="97"/>
      <c r="K521" s="102"/>
      <c r="L521" s="103"/>
      <c r="M521" s="104"/>
      <c r="N521" s="105"/>
      <c r="O521" s="98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spans="1:27" x14ac:dyDescent="0.25">
      <c r="A522" s="88"/>
      <c r="B522" s="30"/>
      <c r="C522" s="30"/>
      <c r="D522" s="30"/>
      <c r="E522" s="30"/>
      <c r="F522" s="88"/>
      <c r="G522" s="88"/>
      <c r="H522" s="30"/>
      <c r="I522" s="96"/>
      <c r="J522" s="97"/>
      <c r="K522" s="102"/>
      <c r="L522" s="103"/>
      <c r="M522" s="104"/>
      <c r="N522" s="105"/>
      <c r="O522" s="98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spans="1:27" x14ac:dyDescent="0.25">
      <c r="A523" s="88"/>
      <c r="B523" s="30"/>
      <c r="C523" s="30"/>
      <c r="D523" s="30"/>
      <c r="E523" s="30"/>
      <c r="F523" s="88"/>
      <c r="G523" s="88"/>
      <c r="H523" s="30"/>
      <c r="I523" s="96"/>
      <c r="J523" s="97"/>
      <c r="K523" s="102"/>
      <c r="L523" s="103"/>
      <c r="M523" s="104"/>
      <c r="N523" s="105"/>
      <c r="O523" s="98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spans="1:27" x14ac:dyDescent="0.25">
      <c r="A524" s="88"/>
      <c r="B524" s="30"/>
      <c r="C524" s="30"/>
      <c r="D524" s="30"/>
      <c r="E524" s="30"/>
      <c r="F524" s="88"/>
      <c r="G524" s="88"/>
      <c r="H524" s="30"/>
      <c r="I524" s="96"/>
      <c r="J524" s="97"/>
      <c r="K524" s="102"/>
      <c r="L524" s="103"/>
      <c r="M524" s="104"/>
      <c r="N524" s="105"/>
      <c r="O524" s="98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spans="1:27" x14ac:dyDescent="0.25">
      <c r="A525" s="88"/>
      <c r="B525" s="30"/>
      <c r="C525" s="30"/>
      <c r="D525" s="30"/>
      <c r="E525" s="30"/>
      <c r="F525" s="88"/>
      <c r="G525" s="88"/>
      <c r="H525" s="30"/>
      <c r="I525" s="96"/>
      <c r="J525" s="97"/>
      <c r="K525" s="102"/>
      <c r="L525" s="103"/>
      <c r="M525" s="104"/>
      <c r="N525" s="105"/>
      <c r="O525" s="98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spans="1:27" x14ac:dyDescent="0.25">
      <c r="A526" s="88"/>
      <c r="B526" s="30"/>
      <c r="C526" s="30"/>
      <c r="D526" s="30"/>
      <c r="E526" s="30"/>
      <c r="F526" s="88"/>
      <c r="G526" s="88"/>
      <c r="H526" s="30"/>
      <c r="I526" s="96"/>
      <c r="J526" s="97"/>
      <c r="K526" s="102"/>
      <c r="L526" s="103"/>
      <c r="M526" s="104"/>
      <c r="N526" s="105"/>
      <c r="O526" s="98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spans="1:27" x14ac:dyDescent="0.25">
      <c r="A527" s="88"/>
      <c r="B527" s="30"/>
      <c r="C527" s="30"/>
      <c r="D527" s="30"/>
      <c r="E527" s="30"/>
      <c r="F527" s="88"/>
      <c r="G527" s="88"/>
      <c r="H527" s="30"/>
      <c r="I527" s="96"/>
      <c r="J527" s="97"/>
      <c r="K527" s="102"/>
      <c r="L527" s="103"/>
      <c r="M527" s="104"/>
      <c r="N527" s="105"/>
      <c r="O527" s="98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spans="1:27" x14ac:dyDescent="0.25">
      <c r="A528" s="88"/>
      <c r="B528" s="30"/>
      <c r="C528" s="30"/>
      <c r="D528" s="30"/>
      <c r="E528" s="30"/>
      <c r="F528" s="88"/>
      <c r="G528" s="88"/>
      <c r="H528" s="30"/>
      <c r="I528" s="96"/>
      <c r="J528" s="97"/>
      <c r="K528" s="102"/>
      <c r="L528" s="103"/>
      <c r="M528" s="104"/>
      <c r="N528" s="105"/>
      <c r="O528" s="98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spans="1:27" x14ac:dyDescent="0.25">
      <c r="A529" s="88"/>
      <c r="B529" s="30"/>
      <c r="C529" s="30"/>
      <c r="D529" s="30"/>
      <c r="E529" s="30"/>
      <c r="F529" s="88"/>
      <c r="G529" s="88"/>
      <c r="H529" s="30"/>
      <c r="I529" s="96"/>
      <c r="J529" s="97"/>
      <c r="K529" s="102"/>
      <c r="L529" s="103"/>
      <c r="M529" s="104"/>
      <c r="N529" s="105"/>
      <c r="O529" s="98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spans="1:27" x14ac:dyDescent="0.25">
      <c r="A530" s="88"/>
      <c r="B530" s="30"/>
      <c r="C530" s="30"/>
      <c r="D530" s="30"/>
      <c r="E530" s="30"/>
      <c r="F530" s="88"/>
      <c r="G530" s="88"/>
      <c r="H530" s="30"/>
      <c r="I530" s="96"/>
      <c r="J530" s="97"/>
      <c r="K530" s="102"/>
      <c r="L530" s="103"/>
      <c r="M530" s="104"/>
      <c r="N530" s="105"/>
      <c r="O530" s="98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spans="1:27" x14ac:dyDescent="0.25">
      <c r="A531" s="88"/>
      <c r="B531" s="30"/>
      <c r="C531" s="30"/>
      <c r="D531" s="30"/>
      <c r="E531" s="30"/>
      <c r="F531" s="88"/>
      <c r="G531" s="88"/>
      <c r="H531" s="30"/>
      <c r="I531" s="96"/>
      <c r="J531" s="97"/>
      <c r="K531" s="102"/>
      <c r="L531" s="103"/>
      <c r="M531" s="104"/>
      <c r="N531" s="105"/>
      <c r="O531" s="98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spans="1:27" x14ac:dyDescent="0.25">
      <c r="A532" s="88"/>
      <c r="B532" s="30"/>
      <c r="C532" s="30"/>
      <c r="D532" s="30"/>
      <c r="E532" s="30"/>
      <c r="F532" s="88"/>
      <c r="G532" s="88"/>
      <c r="H532" s="30"/>
      <c r="I532" s="96"/>
      <c r="J532" s="97"/>
      <c r="K532" s="102"/>
      <c r="L532" s="103"/>
      <c r="M532" s="104"/>
      <c r="N532" s="105"/>
      <c r="O532" s="98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spans="1:27" x14ac:dyDescent="0.25">
      <c r="A533" s="88"/>
      <c r="B533" s="30"/>
      <c r="C533" s="30"/>
      <c r="D533" s="30"/>
      <c r="E533" s="30"/>
      <c r="F533" s="88"/>
      <c r="G533" s="88"/>
      <c r="H533" s="30"/>
      <c r="I533" s="96"/>
      <c r="J533" s="97"/>
      <c r="K533" s="102"/>
      <c r="L533" s="103"/>
      <c r="M533" s="104"/>
      <c r="N533" s="105"/>
      <c r="O533" s="98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spans="1:27" x14ac:dyDescent="0.25">
      <c r="A534" s="88"/>
      <c r="B534" s="30"/>
      <c r="C534" s="30"/>
      <c r="D534" s="30"/>
      <c r="E534" s="30"/>
      <c r="F534" s="88"/>
      <c r="G534" s="88"/>
      <c r="H534" s="30"/>
      <c r="I534" s="96"/>
      <c r="J534" s="97"/>
      <c r="K534" s="102"/>
      <c r="L534" s="103"/>
      <c r="M534" s="104"/>
      <c r="N534" s="105"/>
      <c r="O534" s="98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spans="1:27" x14ac:dyDescent="0.25">
      <c r="A535" s="88"/>
      <c r="B535" s="30"/>
      <c r="C535" s="30"/>
      <c r="D535" s="30"/>
      <c r="E535" s="30"/>
      <c r="F535" s="88"/>
      <c r="G535" s="88"/>
      <c r="H535" s="30"/>
      <c r="I535" s="96"/>
      <c r="J535" s="97"/>
      <c r="K535" s="102"/>
      <c r="L535" s="103"/>
      <c r="M535" s="104"/>
      <c r="N535" s="105"/>
      <c r="O535" s="98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spans="1:27" x14ac:dyDescent="0.25">
      <c r="A536" s="88"/>
      <c r="B536" s="30"/>
      <c r="C536" s="30"/>
      <c r="D536" s="30"/>
      <c r="E536" s="30"/>
      <c r="F536" s="88"/>
      <c r="G536" s="88"/>
      <c r="H536" s="30"/>
      <c r="I536" s="96"/>
      <c r="J536" s="97"/>
      <c r="K536" s="102"/>
      <c r="L536" s="103"/>
      <c r="M536" s="104"/>
      <c r="N536" s="105"/>
      <c r="O536" s="98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spans="1:27" x14ac:dyDescent="0.25">
      <c r="A537" s="88"/>
      <c r="B537" s="30"/>
      <c r="C537" s="30"/>
      <c r="D537" s="30"/>
      <c r="E537" s="30"/>
      <c r="F537" s="88"/>
      <c r="G537" s="88"/>
      <c r="H537" s="30"/>
      <c r="I537" s="96"/>
      <c r="J537" s="97"/>
      <c r="K537" s="102"/>
      <c r="L537" s="103"/>
      <c r="M537" s="104"/>
      <c r="N537" s="105"/>
      <c r="O537" s="98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spans="1:27" x14ac:dyDescent="0.25">
      <c r="A538" s="88"/>
      <c r="B538" s="30"/>
      <c r="C538" s="30"/>
      <c r="D538" s="30"/>
      <c r="E538" s="30"/>
      <c r="F538" s="88"/>
      <c r="G538" s="88"/>
      <c r="H538" s="30"/>
      <c r="I538" s="96"/>
      <c r="J538" s="97"/>
      <c r="K538" s="102"/>
      <c r="L538" s="103"/>
      <c r="M538" s="104"/>
      <c r="N538" s="105"/>
      <c r="O538" s="98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spans="1:27" x14ac:dyDescent="0.25">
      <c r="A539" s="88"/>
      <c r="B539" s="30"/>
      <c r="C539" s="30"/>
      <c r="D539" s="30"/>
      <c r="E539" s="30"/>
      <c r="F539" s="88"/>
      <c r="G539" s="88"/>
      <c r="H539" s="30"/>
      <c r="I539" s="96"/>
      <c r="J539" s="97"/>
      <c r="K539" s="102"/>
      <c r="L539" s="103"/>
      <c r="M539" s="104"/>
      <c r="N539" s="105"/>
      <c r="O539" s="98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spans="1:27" x14ac:dyDescent="0.25">
      <c r="A540" s="88"/>
      <c r="B540" s="30"/>
      <c r="C540" s="30"/>
      <c r="D540" s="30"/>
      <c r="E540" s="30"/>
      <c r="F540" s="88"/>
      <c r="G540" s="88"/>
      <c r="H540" s="30"/>
      <c r="I540" s="96"/>
      <c r="J540" s="97"/>
      <c r="K540" s="102"/>
      <c r="L540" s="103"/>
      <c r="M540" s="104"/>
      <c r="N540" s="105"/>
      <c r="O540" s="98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spans="1:27" x14ac:dyDescent="0.25">
      <c r="A541" s="88"/>
      <c r="B541" s="30"/>
      <c r="C541" s="30"/>
      <c r="D541" s="30"/>
      <c r="E541" s="30"/>
      <c r="F541" s="88"/>
      <c r="G541" s="88"/>
      <c r="H541" s="30"/>
      <c r="I541" s="96"/>
      <c r="J541" s="97"/>
      <c r="K541" s="102"/>
      <c r="L541" s="103"/>
      <c r="M541" s="104"/>
      <c r="N541" s="105"/>
      <c r="O541" s="98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spans="1:27" x14ac:dyDescent="0.25">
      <c r="A542" s="88"/>
      <c r="B542" s="30"/>
      <c r="C542" s="30"/>
      <c r="D542" s="30"/>
      <c r="E542" s="30"/>
      <c r="F542" s="88"/>
      <c r="G542" s="88"/>
      <c r="H542" s="30"/>
      <c r="I542" s="96"/>
      <c r="J542" s="97"/>
      <c r="K542" s="102"/>
      <c r="L542" s="103"/>
      <c r="M542" s="104"/>
      <c r="N542" s="105"/>
      <c r="O542" s="98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spans="1:27" x14ac:dyDescent="0.25">
      <c r="A543" s="88"/>
      <c r="B543" s="30"/>
      <c r="C543" s="30"/>
      <c r="D543" s="30"/>
      <c r="E543" s="30"/>
      <c r="F543" s="88"/>
      <c r="G543" s="88"/>
      <c r="H543" s="30"/>
      <c r="I543" s="96"/>
      <c r="J543" s="97"/>
      <c r="K543" s="102"/>
      <c r="L543" s="103"/>
      <c r="M543" s="104"/>
      <c r="N543" s="105"/>
      <c r="O543" s="98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spans="1:27" x14ac:dyDescent="0.25">
      <c r="A544" s="88"/>
      <c r="B544" s="30"/>
      <c r="C544" s="30"/>
      <c r="D544" s="30"/>
      <c r="E544" s="30"/>
      <c r="F544" s="88"/>
      <c r="G544" s="88"/>
      <c r="H544" s="30"/>
      <c r="I544" s="96"/>
      <c r="J544" s="97"/>
      <c r="K544" s="102"/>
      <c r="L544" s="103"/>
      <c r="M544" s="104"/>
      <c r="N544" s="105"/>
      <c r="O544" s="98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spans="1:27" x14ac:dyDescent="0.25">
      <c r="A545" s="88"/>
      <c r="B545" s="30"/>
      <c r="C545" s="30"/>
      <c r="D545" s="30"/>
      <c r="E545" s="30"/>
      <c r="F545" s="88"/>
      <c r="G545" s="88"/>
      <c r="H545" s="30"/>
      <c r="I545" s="96"/>
      <c r="J545" s="97"/>
      <c r="K545" s="102"/>
      <c r="L545" s="103"/>
      <c r="M545" s="104"/>
      <c r="N545" s="105"/>
      <c r="O545" s="98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spans="1:27" x14ac:dyDescent="0.25">
      <c r="A546" s="88"/>
      <c r="B546" s="30"/>
      <c r="C546" s="30"/>
      <c r="D546" s="30"/>
      <c r="E546" s="30"/>
      <c r="F546" s="88"/>
      <c r="G546" s="88"/>
      <c r="H546" s="30"/>
      <c r="I546" s="96"/>
      <c r="J546" s="97"/>
      <c r="K546" s="102"/>
      <c r="L546" s="103"/>
      <c r="M546" s="104"/>
      <c r="N546" s="105"/>
      <c r="O546" s="98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spans="1:27" x14ac:dyDescent="0.25">
      <c r="A547" s="88"/>
      <c r="B547" s="30"/>
      <c r="C547" s="30"/>
      <c r="D547" s="30"/>
      <c r="E547" s="30"/>
      <c r="F547" s="88"/>
      <c r="G547" s="88"/>
      <c r="H547" s="30"/>
      <c r="I547" s="96"/>
      <c r="J547" s="97"/>
      <c r="K547" s="102"/>
      <c r="L547" s="103"/>
      <c r="M547" s="104"/>
      <c r="N547" s="105"/>
      <c r="O547" s="98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spans="1:27" x14ac:dyDescent="0.25">
      <c r="A548" s="88"/>
      <c r="B548" s="30"/>
      <c r="C548" s="30"/>
      <c r="D548" s="30"/>
      <c r="E548" s="30"/>
      <c r="F548" s="88"/>
      <c r="G548" s="88"/>
      <c r="H548" s="30"/>
      <c r="I548" s="96"/>
      <c r="J548" s="97"/>
      <c r="K548" s="102"/>
      <c r="L548" s="103"/>
      <c r="M548" s="104"/>
      <c r="N548" s="105"/>
      <c r="O548" s="98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spans="1:27" x14ac:dyDescent="0.25">
      <c r="A549" s="88"/>
      <c r="B549" s="30"/>
      <c r="C549" s="30"/>
      <c r="D549" s="30"/>
      <c r="E549" s="30"/>
      <c r="F549" s="88"/>
      <c r="G549" s="88"/>
      <c r="H549" s="30"/>
      <c r="I549" s="96"/>
      <c r="J549" s="97"/>
      <c r="K549" s="102"/>
      <c r="L549" s="103"/>
      <c r="M549" s="104"/>
      <c r="N549" s="105"/>
      <c r="O549" s="98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spans="1:27" x14ac:dyDescent="0.25">
      <c r="A550" s="88"/>
      <c r="B550" s="30"/>
      <c r="C550" s="30"/>
      <c r="D550" s="30"/>
      <c r="E550" s="30"/>
      <c r="F550" s="88"/>
      <c r="G550" s="88"/>
      <c r="H550" s="30"/>
      <c r="I550" s="96"/>
      <c r="J550" s="97"/>
      <c r="K550" s="93">
        <v>346.1</v>
      </c>
      <c r="L550" s="93" t="s">
        <v>4202</v>
      </c>
      <c r="M550" s="94" t="s">
        <v>4203</v>
      </c>
      <c r="N550" s="95" t="s">
        <v>3734</v>
      </c>
      <c r="O550" s="98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spans="1:27" x14ac:dyDescent="0.25">
      <c r="A551" s="88"/>
      <c r="B551" s="30"/>
      <c r="C551" s="30"/>
      <c r="D551" s="30"/>
      <c r="E551" s="30"/>
      <c r="F551" s="88"/>
      <c r="G551" s="88"/>
      <c r="H551" s="30"/>
      <c r="I551" s="96"/>
      <c r="J551" s="97"/>
      <c r="K551" s="93">
        <v>359</v>
      </c>
      <c r="L551" s="93" t="s">
        <v>4204</v>
      </c>
      <c r="M551" s="94" t="s">
        <v>4205</v>
      </c>
      <c r="N551" s="95" t="s">
        <v>3594</v>
      </c>
      <c r="O551" s="98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spans="1:27" x14ac:dyDescent="0.25">
      <c r="A552" s="88"/>
      <c r="B552" s="30"/>
      <c r="C552" s="30"/>
      <c r="D552" s="30"/>
      <c r="E552" s="30"/>
      <c r="F552" s="88"/>
      <c r="G552" s="88"/>
      <c r="H552" s="30"/>
      <c r="I552" s="96"/>
      <c r="J552" s="97"/>
      <c r="K552" s="93">
        <v>358</v>
      </c>
      <c r="L552" s="93" t="s">
        <v>4206</v>
      </c>
      <c r="M552" s="94" t="s">
        <v>4207</v>
      </c>
      <c r="N552" s="95" t="s">
        <v>3588</v>
      </c>
      <c r="O552" s="98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spans="1:27" x14ac:dyDescent="0.25">
      <c r="A553" s="88"/>
      <c r="B553" s="30"/>
      <c r="C553" s="30"/>
      <c r="D553" s="30"/>
      <c r="E553" s="30"/>
      <c r="F553" s="88"/>
      <c r="G553" s="88"/>
      <c r="H553" s="30"/>
      <c r="I553" s="96"/>
      <c r="J553" s="97"/>
      <c r="K553" s="93">
        <v>357</v>
      </c>
      <c r="L553" s="93" t="s">
        <v>4208</v>
      </c>
      <c r="M553" s="94" t="s">
        <v>4209</v>
      </c>
      <c r="N553" s="95" t="s">
        <v>3664</v>
      </c>
      <c r="O553" s="98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spans="1:27" x14ac:dyDescent="0.25">
      <c r="A554" s="88"/>
      <c r="B554" s="30"/>
      <c r="C554" s="30"/>
      <c r="D554" s="30"/>
      <c r="E554" s="30"/>
      <c r="F554" s="88"/>
      <c r="G554" s="88"/>
      <c r="H554" s="30"/>
      <c r="I554" s="96"/>
      <c r="J554" s="97"/>
      <c r="K554" s="93">
        <v>356</v>
      </c>
      <c r="L554" s="93" t="s">
        <v>4210</v>
      </c>
      <c r="M554" s="94" t="s">
        <v>4211</v>
      </c>
      <c r="N554" s="95" t="s">
        <v>3562</v>
      </c>
      <c r="O554" s="98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spans="1:27" x14ac:dyDescent="0.25">
      <c r="A555" s="88"/>
      <c r="B555" s="30"/>
      <c r="C555" s="30"/>
      <c r="D555" s="30"/>
      <c r="E555" s="30"/>
      <c r="F555" s="88"/>
      <c r="G555" s="88"/>
      <c r="H555" s="30"/>
      <c r="I555" s="96"/>
      <c r="J555" s="97"/>
      <c r="K555" s="93">
        <v>355</v>
      </c>
      <c r="L555" s="93" t="s">
        <v>4212</v>
      </c>
      <c r="M555" s="94" t="s">
        <v>4213</v>
      </c>
      <c r="N555" s="95" t="s">
        <v>3601</v>
      </c>
      <c r="O555" s="98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spans="1:27" x14ac:dyDescent="0.25">
      <c r="A556" s="88"/>
      <c r="B556" s="30"/>
      <c r="C556" s="30"/>
      <c r="D556" s="30"/>
      <c r="E556" s="30"/>
      <c r="F556" s="88"/>
      <c r="G556" s="88"/>
      <c r="H556" s="30"/>
      <c r="I556" s="96"/>
      <c r="J556" s="97"/>
      <c r="K556" s="93">
        <v>354</v>
      </c>
      <c r="L556" s="93" t="s">
        <v>4214</v>
      </c>
      <c r="M556" s="94" t="s">
        <v>4215</v>
      </c>
      <c r="N556" s="95" t="s">
        <v>3734</v>
      </c>
      <c r="O556" s="98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spans="1:27" x14ac:dyDescent="0.25">
      <c r="A557" s="88"/>
      <c r="B557" s="30"/>
      <c r="C557" s="30"/>
      <c r="D557" s="30"/>
      <c r="E557" s="30"/>
      <c r="F557" s="88"/>
      <c r="G557" s="88"/>
      <c r="H557" s="30"/>
      <c r="I557" s="96"/>
      <c r="J557" s="97"/>
      <c r="K557" s="93">
        <v>176.5</v>
      </c>
      <c r="L557" s="93" t="s">
        <v>3750</v>
      </c>
      <c r="M557" s="94" t="s">
        <v>4216</v>
      </c>
      <c r="N557" s="95" t="s">
        <v>3583</v>
      </c>
      <c r="O557" s="98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spans="1:27" x14ac:dyDescent="0.25">
      <c r="A558" s="88"/>
      <c r="B558" s="30"/>
      <c r="C558" s="30"/>
      <c r="D558" s="30"/>
      <c r="E558" s="30"/>
      <c r="F558" s="88"/>
      <c r="G558" s="88"/>
      <c r="H558" s="30"/>
      <c r="I558" s="96"/>
      <c r="J558" s="97"/>
      <c r="K558" s="93">
        <v>353</v>
      </c>
      <c r="L558" s="93" t="s">
        <v>4217</v>
      </c>
      <c r="M558" s="94" t="s">
        <v>4218</v>
      </c>
      <c r="N558" s="95" t="s">
        <v>3734</v>
      </c>
      <c r="O558" s="98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spans="1:27" x14ac:dyDescent="0.25">
      <c r="A559" s="88"/>
      <c r="B559" s="30"/>
      <c r="C559" s="30"/>
      <c r="D559" s="30"/>
      <c r="E559" s="30"/>
      <c r="F559" s="88"/>
      <c r="G559" s="88"/>
      <c r="H559" s="30"/>
      <c r="I559" s="96"/>
      <c r="J559" s="97"/>
      <c r="K559" s="93">
        <v>285.10000000000002</v>
      </c>
      <c r="L559" s="93" t="s">
        <v>4219</v>
      </c>
      <c r="M559" s="94" t="s">
        <v>4220</v>
      </c>
      <c r="N559" s="95" t="s">
        <v>3664</v>
      </c>
      <c r="O559" s="98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spans="1:27" x14ac:dyDescent="0.25">
      <c r="A560" s="88"/>
      <c r="B560" s="30"/>
      <c r="C560" s="30"/>
      <c r="D560" s="30"/>
      <c r="E560" s="30"/>
      <c r="F560" s="88"/>
      <c r="G560" s="88"/>
      <c r="H560" s="30"/>
      <c r="I560" s="96"/>
      <c r="J560" s="97"/>
      <c r="K560" s="93">
        <v>275.10000000000002</v>
      </c>
      <c r="L560" s="93" t="s">
        <v>4221</v>
      </c>
      <c r="M560" s="94" t="s">
        <v>4222</v>
      </c>
      <c r="N560" s="95" t="s">
        <v>3664</v>
      </c>
      <c r="O560" s="98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spans="1:27" x14ac:dyDescent="0.25">
      <c r="A561" s="88"/>
      <c r="B561" s="30"/>
      <c r="C561" s="30"/>
      <c r="D561" s="30"/>
      <c r="E561" s="30"/>
      <c r="F561" s="88"/>
      <c r="G561" s="88"/>
      <c r="H561" s="30"/>
      <c r="I561" s="96"/>
      <c r="J561" s="97"/>
      <c r="K561" s="93">
        <v>274.10000000000002</v>
      </c>
      <c r="L561" s="93" t="s">
        <v>4223</v>
      </c>
      <c r="M561" s="94" t="s">
        <v>4224</v>
      </c>
      <c r="N561" s="95" t="s">
        <v>3664</v>
      </c>
      <c r="O561" s="98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spans="1:27" x14ac:dyDescent="0.25">
      <c r="A562" s="88"/>
      <c r="B562" s="30"/>
      <c r="C562" s="30"/>
      <c r="D562" s="30"/>
      <c r="E562" s="30"/>
      <c r="F562" s="88"/>
      <c r="G562" s="88"/>
      <c r="H562" s="30"/>
      <c r="I562" s="96"/>
      <c r="J562" s="97"/>
      <c r="K562" s="93">
        <v>207.1</v>
      </c>
      <c r="L562" s="93" t="s">
        <v>4225</v>
      </c>
      <c r="M562" s="94" t="s">
        <v>4226</v>
      </c>
      <c r="N562" s="95" t="s">
        <v>3664</v>
      </c>
      <c r="O562" s="98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spans="1:27" x14ac:dyDescent="0.25">
      <c r="A563" s="88"/>
      <c r="B563" s="30"/>
      <c r="C563" s="30"/>
      <c r="D563" s="30"/>
      <c r="E563" s="30"/>
      <c r="F563" s="88"/>
      <c r="G563" s="88"/>
      <c r="H563" s="30"/>
      <c r="I563" s="96"/>
      <c r="J563" s="97"/>
      <c r="K563" s="93">
        <v>352</v>
      </c>
      <c r="L563" s="93" t="s">
        <v>4227</v>
      </c>
      <c r="M563" s="94" t="s">
        <v>4228</v>
      </c>
      <c r="N563" s="95" t="s">
        <v>4068</v>
      </c>
      <c r="O563" s="98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spans="1:27" x14ac:dyDescent="0.25">
      <c r="A564" s="88"/>
      <c r="B564" s="30"/>
      <c r="C564" s="30"/>
      <c r="D564" s="30"/>
      <c r="E564" s="30"/>
      <c r="F564" s="88"/>
      <c r="G564" s="88"/>
      <c r="H564" s="30"/>
      <c r="I564" s="96"/>
      <c r="J564" s="97"/>
      <c r="K564" s="93">
        <v>351</v>
      </c>
      <c r="L564" s="93" t="s">
        <v>4229</v>
      </c>
      <c r="M564" s="94" t="s">
        <v>4230</v>
      </c>
      <c r="N564" s="95"/>
      <c r="O564" s="98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spans="1:27" x14ac:dyDescent="0.25">
      <c r="A565" s="88"/>
      <c r="B565" s="30"/>
      <c r="C565" s="30"/>
      <c r="D565" s="30"/>
      <c r="E565" s="30"/>
      <c r="F565" s="88"/>
      <c r="G565" s="88"/>
      <c r="H565" s="30"/>
      <c r="I565" s="96"/>
      <c r="J565" s="97"/>
      <c r="K565" s="93">
        <v>350</v>
      </c>
      <c r="L565" s="93" t="s">
        <v>4231</v>
      </c>
      <c r="M565" s="94" t="s">
        <v>4232</v>
      </c>
      <c r="N565" s="95" t="s">
        <v>3594</v>
      </c>
      <c r="O565" s="98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spans="1:27" x14ac:dyDescent="0.25">
      <c r="A566" s="88"/>
      <c r="B566" s="30"/>
      <c r="C566" s="30"/>
      <c r="D566" s="30"/>
      <c r="E566" s="30"/>
      <c r="F566" s="88"/>
      <c r="G566" s="88"/>
      <c r="H566" s="30"/>
      <c r="I566" s="96"/>
      <c r="J566" s="97"/>
      <c r="K566" s="93">
        <v>349</v>
      </c>
      <c r="L566" s="93" t="s">
        <v>4233</v>
      </c>
      <c r="M566" s="94" t="s">
        <v>4234</v>
      </c>
      <c r="N566" s="95" t="s">
        <v>3991</v>
      </c>
      <c r="O566" s="98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spans="1:27" x14ac:dyDescent="0.25">
      <c r="A567" s="88"/>
      <c r="B567" s="30"/>
      <c r="C567" s="30"/>
      <c r="D567" s="30"/>
      <c r="E567" s="30"/>
      <c r="F567" s="88"/>
      <c r="G567" s="88"/>
      <c r="H567" s="30"/>
      <c r="I567" s="96"/>
      <c r="J567" s="97"/>
      <c r="K567" s="93">
        <v>348</v>
      </c>
      <c r="L567" s="93" t="s">
        <v>4235</v>
      </c>
      <c r="M567" s="94" t="s">
        <v>4236</v>
      </c>
      <c r="N567" s="95" t="s">
        <v>3562</v>
      </c>
      <c r="O567" s="98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spans="1:27" x14ac:dyDescent="0.25">
      <c r="A568" s="88"/>
      <c r="B568" s="30"/>
      <c r="C568" s="30"/>
      <c r="D568" s="30"/>
      <c r="E568" s="30"/>
      <c r="F568" s="88"/>
      <c r="G568" s="88"/>
      <c r="H568" s="30"/>
      <c r="I568" s="96"/>
      <c r="J568" s="97"/>
      <c r="K568" s="93">
        <v>347</v>
      </c>
      <c r="L568" s="93" t="s">
        <v>4237</v>
      </c>
      <c r="M568" s="94" t="s">
        <v>4238</v>
      </c>
      <c r="N568" s="95" t="s">
        <v>3580</v>
      </c>
      <c r="O568" s="98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spans="1:27" x14ac:dyDescent="0.25">
      <c r="A569" s="88"/>
      <c r="B569" s="30"/>
      <c r="C569" s="30"/>
      <c r="D569" s="30"/>
      <c r="E569" s="30"/>
      <c r="F569" s="88"/>
      <c r="G569" s="88"/>
      <c r="H569" s="30"/>
      <c r="I569" s="96"/>
      <c r="J569" s="97"/>
      <c r="K569" s="93">
        <v>346</v>
      </c>
      <c r="L569" s="93" t="s">
        <v>4202</v>
      </c>
      <c r="M569" s="94" t="s">
        <v>4239</v>
      </c>
      <c r="N569" s="95" t="s">
        <v>3734</v>
      </c>
      <c r="O569" s="98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spans="1:27" x14ac:dyDescent="0.25">
      <c r="A570" s="88"/>
      <c r="B570" s="30"/>
      <c r="C570" s="30"/>
      <c r="D570" s="30"/>
      <c r="E570" s="30"/>
      <c r="F570" s="88"/>
      <c r="G570" s="88"/>
      <c r="H570" s="30"/>
      <c r="I570" s="96"/>
      <c r="J570" s="97"/>
      <c r="K570" s="93">
        <v>345</v>
      </c>
      <c r="L570" s="93" t="s">
        <v>4240</v>
      </c>
      <c r="M570" s="94" t="s">
        <v>4241</v>
      </c>
      <c r="N570" s="95" t="s">
        <v>3553</v>
      </c>
      <c r="O570" s="98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spans="1:27" x14ac:dyDescent="0.25">
      <c r="A571" s="88"/>
      <c r="B571" s="30"/>
      <c r="C571" s="30"/>
      <c r="D571" s="30"/>
      <c r="E571" s="30"/>
      <c r="F571" s="88"/>
      <c r="G571" s="88"/>
      <c r="H571" s="30"/>
      <c r="I571" s="96"/>
      <c r="J571" s="97"/>
      <c r="K571" s="93">
        <v>344</v>
      </c>
      <c r="L571" s="93" t="s">
        <v>4242</v>
      </c>
      <c r="M571" s="94" t="s">
        <v>4243</v>
      </c>
      <c r="N571" s="95" t="s">
        <v>3991</v>
      </c>
      <c r="O571" s="98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spans="1:27" x14ac:dyDescent="0.25">
      <c r="A572" s="88"/>
      <c r="B572" s="30"/>
      <c r="C572" s="30"/>
      <c r="D572" s="30"/>
      <c r="E572" s="30"/>
      <c r="F572" s="88"/>
      <c r="G572" s="88"/>
      <c r="H572" s="30"/>
      <c r="I572" s="96"/>
      <c r="J572" s="97"/>
      <c r="K572" s="93">
        <v>343</v>
      </c>
      <c r="L572" s="93" t="s">
        <v>4244</v>
      </c>
      <c r="M572" s="94" t="s">
        <v>4245</v>
      </c>
      <c r="N572" s="95" t="s">
        <v>3656</v>
      </c>
      <c r="O572" s="98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spans="1:27" x14ac:dyDescent="0.25">
      <c r="A573" s="88"/>
      <c r="B573" s="30"/>
      <c r="C573" s="30"/>
      <c r="D573" s="30"/>
      <c r="E573" s="30"/>
      <c r="F573" s="88"/>
      <c r="G573" s="88"/>
      <c r="H573" s="30"/>
      <c r="I573" s="96"/>
      <c r="J573" s="97"/>
      <c r="K573" s="93">
        <v>342</v>
      </c>
      <c r="L573" s="93" t="s">
        <v>4246</v>
      </c>
      <c r="M573" s="94" t="s">
        <v>4247</v>
      </c>
      <c r="N573" s="95" t="s">
        <v>3571</v>
      </c>
      <c r="O573" s="98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spans="1:27" x14ac:dyDescent="0.25">
      <c r="A574" s="88"/>
      <c r="B574" s="30"/>
      <c r="C574" s="30"/>
      <c r="D574" s="30"/>
      <c r="E574" s="30"/>
      <c r="F574" s="88"/>
      <c r="G574" s="88"/>
      <c r="H574" s="30"/>
      <c r="I574" s="96"/>
      <c r="J574" s="97"/>
      <c r="K574" s="93">
        <v>341</v>
      </c>
      <c r="L574" s="93" t="s">
        <v>4248</v>
      </c>
      <c r="M574" s="94" t="s">
        <v>4249</v>
      </c>
      <c r="N574" s="95" t="s">
        <v>3562</v>
      </c>
      <c r="O574" s="98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spans="1:27" x14ac:dyDescent="0.25">
      <c r="A575" s="88"/>
      <c r="B575" s="30"/>
      <c r="C575" s="30"/>
      <c r="D575" s="30"/>
      <c r="E575" s="30"/>
      <c r="F575" s="88"/>
      <c r="G575" s="88"/>
      <c r="H575" s="30"/>
      <c r="I575" s="96"/>
      <c r="J575" s="97"/>
      <c r="K575" s="93">
        <v>230.1</v>
      </c>
      <c r="L575" s="93" t="s">
        <v>4159</v>
      </c>
      <c r="M575" s="94" t="s">
        <v>4160</v>
      </c>
      <c r="N575" s="95" t="s">
        <v>3729</v>
      </c>
      <c r="O575" s="98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spans="1:27" x14ac:dyDescent="0.25">
      <c r="A576" s="88"/>
      <c r="B576" s="30"/>
      <c r="C576" s="30"/>
      <c r="D576" s="30"/>
      <c r="E576" s="30"/>
      <c r="F576" s="88"/>
      <c r="G576" s="88"/>
      <c r="H576" s="30"/>
      <c r="I576" s="96"/>
      <c r="J576" s="97"/>
      <c r="K576" s="93">
        <v>312</v>
      </c>
      <c r="L576" s="93" t="s">
        <v>4039</v>
      </c>
      <c r="M576" s="94" t="s">
        <v>4040</v>
      </c>
      <c r="N576" s="95"/>
      <c r="O576" s="98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spans="1:27" x14ac:dyDescent="0.25">
      <c r="A577" s="88"/>
      <c r="B577" s="30"/>
      <c r="C577" s="30"/>
      <c r="D577" s="30"/>
      <c r="E577" s="30"/>
      <c r="F577" s="88"/>
      <c r="G577" s="88"/>
      <c r="H577" s="30"/>
      <c r="I577" s="96"/>
      <c r="J577" s="97"/>
      <c r="K577" s="93">
        <v>340</v>
      </c>
      <c r="L577" s="93" t="s">
        <v>4250</v>
      </c>
      <c r="M577" s="94" t="s">
        <v>4251</v>
      </c>
      <c r="N577" s="95" t="s">
        <v>3622</v>
      </c>
      <c r="O577" s="98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spans="1:27" x14ac:dyDescent="0.25">
      <c r="A578" s="88"/>
      <c r="B578" s="30"/>
      <c r="C578" s="30"/>
      <c r="D578" s="30"/>
      <c r="E578" s="30"/>
      <c r="F578" s="88"/>
      <c r="G578" s="88"/>
      <c r="H578" s="30"/>
      <c r="I578" s="96"/>
      <c r="J578" s="97"/>
      <c r="K578" s="93">
        <v>339</v>
      </c>
      <c r="L578" s="93" t="s">
        <v>4252</v>
      </c>
      <c r="M578" s="94" t="s">
        <v>4253</v>
      </c>
      <c r="N578" s="95"/>
      <c r="O578" s="98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spans="1:27" x14ac:dyDescent="0.25">
      <c r="A579" s="88"/>
      <c r="B579" s="30"/>
      <c r="C579" s="30"/>
      <c r="D579" s="30"/>
      <c r="E579" s="30"/>
      <c r="F579" s="88"/>
      <c r="G579" s="88"/>
      <c r="H579" s="30"/>
      <c r="I579" s="96"/>
      <c r="J579" s="97"/>
      <c r="K579" s="93">
        <v>338</v>
      </c>
      <c r="L579" s="93" t="s">
        <v>4254</v>
      </c>
      <c r="M579" s="94" t="s">
        <v>4255</v>
      </c>
      <c r="N579" s="95" t="s">
        <v>3562</v>
      </c>
      <c r="O579" s="98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spans="1:27" x14ac:dyDescent="0.25">
      <c r="A580" s="88"/>
      <c r="B580" s="30"/>
      <c r="C580" s="30"/>
      <c r="D580" s="30"/>
      <c r="E580" s="30"/>
      <c r="F580" s="88"/>
      <c r="G580" s="88"/>
      <c r="H580" s="30"/>
      <c r="I580" s="96"/>
      <c r="J580" s="97"/>
      <c r="K580" s="93">
        <v>337</v>
      </c>
      <c r="L580" s="93" t="s">
        <v>4256</v>
      </c>
      <c r="M580" s="94" t="s">
        <v>4257</v>
      </c>
      <c r="N580" s="95" t="s">
        <v>3588</v>
      </c>
      <c r="O580" s="98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spans="1:27" x14ac:dyDescent="0.25">
      <c r="A581" s="88"/>
      <c r="B581" s="30"/>
      <c r="C581" s="30"/>
      <c r="D581" s="30"/>
      <c r="E581" s="30"/>
      <c r="F581" s="88"/>
      <c r="G581" s="88"/>
      <c r="H581" s="30"/>
      <c r="I581" s="96"/>
      <c r="J581" s="97"/>
      <c r="K581" s="93">
        <v>336</v>
      </c>
      <c r="L581" s="93" t="s">
        <v>4258</v>
      </c>
      <c r="M581" s="94" t="s">
        <v>4259</v>
      </c>
      <c r="N581" s="95" t="s">
        <v>3588</v>
      </c>
      <c r="O581" s="98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spans="1:27" x14ac:dyDescent="0.25">
      <c r="A582" s="88"/>
      <c r="B582" s="30"/>
      <c r="C582" s="30"/>
      <c r="D582" s="30"/>
      <c r="E582" s="30"/>
      <c r="F582" s="88"/>
      <c r="G582" s="88"/>
      <c r="H582" s="30"/>
      <c r="I582" s="96"/>
      <c r="J582" s="97"/>
      <c r="K582" s="93">
        <v>335</v>
      </c>
      <c r="L582" s="93" t="s">
        <v>4260</v>
      </c>
      <c r="M582" s="94" t="s">
        <v>4261</v>
      </c>
      <c r="N582" s="95" t="s">
        <v>3588</v>
      </c>
      <c r="O582" s="98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spans="1:27" x14ac:dyDescent="0.25">
      <c r="A583" s="88"/>
      <c r="B583" s="30"/>
      <c r="C583" s="30"/>
      <c r="D583" s="30"/>
      <c r="E583" s="30"/>
      <c r="F583" s="88"/>
      <c r="G583" s="88"/>
      <c r="H583" s="30"/>
      <c r="I583" s="96"/>
      <c r="J583" s="97"/>
      <c r="K583" s="93">
        <v>334</v>
      </c>
      <c r="L583" s="93" t="s">
        <v>4262</v>
      </c>
      <c r="M583" s="94" t="s">
        <v>4263</v>
      </c>
      <c r="N583" s="95" t="s">
        <v>3553</v>
      </c>
      <c r="O583" s="98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spans="1:27" x14ac:dyDescent="0.25">
      <c r="A584" s="88"/>
      <c r="B584" s="30"/>
      <c r="C584" s="30"/>
      <c r="D584" s="30"/>
      <c r="E584" s="30"/>
      <c r="F584" s="88"/>
      <c r="G584" s="88"/>
      <c r="H584" s="30"/>
      <c r="I584" s="96"/>
      <c r="J584" s="97"/>
      <c r="K584" s="93">
        <v>333</v>
      </c>
      <c r="L584" s="93" t="s">
        <v>3989</v>
      </c>
      <c r="M584" s="94" t="s">
        <v>3990</v>
      </c>
      <c r="N584" s="95" t="s">
        <v>3991</v>
      </c>
      <c r="O584" s="98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spans="1:27" x14ac:dyDescent="0.25">
      <c r="A585" s="88"/>
      <c r="B585" s="30"/>
      <c r="C585" s="30"/>
      <c r="D585" s="30"/>
      <c r="E585" s="30"/>
      <c r="F585" s="88"/>
      <c r="G585" s="88"/>
      <c r="H585" s="30"/>
      <c r="I585" s="96"/>
      <c r="J585" s="97"/>
      <c r="K585" s="93">
        <v>332</v>
      </c>
      <c r="L585" s="93" t="s">
        <v>3998</v>
      </c>
      <c r="M585" s="94" t="s">
        <v>3999</v>
      </c>
      <c r="N585" s="95" t="s">
        <v>3583</v>
      </c>
      <c r="O585" s="98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spans="1:27" x14ac:dyDescent="0.25">
      <c r="A586" s="88"/>
      <c r="B586" s="30"/>
      <c r="C586" s="30"/>
      <c r="D586" s="30"/>
      <c r="E586" s="30"/>
      <c r="F586" s="88"/>
      <c r="G586" s="88"/>
      <c r="H586" s="30"/>
      <c r="I586" s="96"/>
      <c r="J586" s="97"/>
      <c r="K586" s="93">
        <v>331</v>
      </c>
      <c r="L586" s="93" t="s">
        <v>4000</v>
      </c>
      <c r="M586" s="94" t="s">
        <v>4001</v>
      </c>
      <c r="N586" s="95" t="s">
        <v>3734</v>
      </c>
      <c r="O586" s="98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spans="1:27" x14ac:dyDescent="0.25">
      <c r="A587" s="88"/>
      <c r="B587" s="30"/>
      <c r="C587" s="30"/>
      <c r="D587" s="30"/>
      <c r="E587" s="30"/>
      <c r="F587" s="88"/>
      <c r="G587" s="88"/>
      <c r="H587" s="30"/>
      <c r="I587" s="96"/>
      <c r="J587" s="97"/>
      <c r="K587" s="93">
        <v>330</v>
      </c>
      <c r="L587" s="93" t="s">
        <v>4002</v>
      </c>
      <c r="M587" s="94" t="s">
        <v>4003</v>
      </c>
      <c r="N587" s="95" t="s">
        <v>3569</v>
      </c>
      <c r="O587" s="98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spans="1:27" x14ac:dyDescent="0.25">
      <c r="A588" s="88"/>
      <c r="B588" s="30"/>
      <c r="C588" s="30"/>
      <c r="D588" s="30"/>
      <c r="E588" s="30"/>
      <c r="F588" s="88"/>
      <c r="G588" s="88"/>
      <c r="H588" s="30"/>
      <c r="I588" s="96"/>
      <c r="J588" s="97"/>
      <c r="K588" s="93">
        <v>329</v>
      </c>
      <c r="L588" s="93" t="s">
        <v>4004</v>
      </c>
      <c r="M588" s="94" t="s">
        <v>4005</v>
      </c>
      <c r="N588" s="95" t="s">
        <v>3991</v>
      </c>
      <c r="O588" s="98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spans="1:27" x14ac:dyDescent="0.25">
      <c r="A589" s="88"/>
      <c r="B589" s="30"/>
      <c r="C589" s="30"/>
      <c r="D589" s="30"/>
      <c r="E589" s="30"/>
      <c r="F589" s="88"/>
      <c r="G589" s="88"/>
      <c r="H589" s="30"/>
      <c r="I589" s="96"/>
      <c r="J589" s="97"/>
      <c r="K589" s="93">
        <v>328</v>
      </c>
      <c r="L589" s="93" t="s">
        <v>4006</v>
      </c>
      <c r="M589" s="94" t="s">
        <v>4007</v>
      </c>
      <c r="N589" s="95"/>
      <c r="O589" s="98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spans="1:27" x14ac:dyDescent="0.25">
      <c r="A590" s="88"/>
      <c r="B590" s="30"/>
      <c r="C590" s="30"/>
      <c r="D590" s="30"/>
      <c r="E590" s="30"/>
      <c r="F590" s="88"/>
      <c r="G590" s="88"/>
      <c r="H590" s="30"/>
      <c r="I590" s="96"/>
      <c r="J590" s="97"/>
      <c r="K590" s="93">
        <v>327</v>
      </c>
      <c r="L590" s="93" t="s">
        <v>4008</v>
      </c>
      <c r="M590" s="94" t="s">
        <v>4009</v>
      </c>
      <c r="N590" s="95"/>
      <c r="O590" s="98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spans="1:27" x14ac:dyDescent="0.25">
      <c r="A591" s="88"/>
      <c r="B591" s="30"/>
      <c r="C591" s="30"/>
      <c r="D591" s="30"/>
      <c r="E591" s="30"/>
      <c r="F591" s="88"/>
      <c r="G591" s="88"/>
      <c r="H591" s="30"/>
      <c r="I591" s="96"/>
      <c r="J591" s="97"/>
      <c r="K591" s="93">
        <v>326</v>
      </c>
      <c r="L591" s="93" t="s">
        <v>4010</v>
      </c>
      <c r="M591" s="94" t="s">
        <v>4011</v>
      </c>
      <c r="N591" s="95" t="s">
        <v>3622</v>
      </c>
      <c r="O591" s="98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spans="1:27" x14ac:dyDescent="0.25">
      <c r="A592" s="88"/>
      <c r="B592" s="30"/>
      <c r="C592" s="30"/>
      <c r="D592" s="30"/>
      <c r="E592" s="30"/>
      <c r="F592" s="88"/>
      <c r="G592" s="88"/>
      <c r="H592" s="30"/>
      <c r="I592" s="96"/>
      <c r="J592" s="97"/>
      <c r="K592" s="93">
        <v>325</v>
      </c>
      <c r="L592" s="93" t="s">
        <v>4012</v>
      </c>
      <c r="M592" s="94" t="s">
        <v>4013</v>
      </c>
      <c r="N592" s="95" t="s">
        <v>3734</v>
      </c>
      <c r="O592" s="98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spans="1:27" x14ac:dyDescent="0.25">
      <c r="A593" s="88"/>
      <c r="B593" s="30"/>
      <c r="C593" s="30"/>
      <c r="D593" s="30"/>
      <c r="E593" s="30"/>
      <c r="F593" s="88"/>
      <c r="G593" s="88"/>
      <c r="H593" s="30"/>
      <c r="I593" s="96"/>
      <c r="J593" s="97"/>
      <c r="K593" s="93">
        <v>324</v>
      </c>
      <c r="L593" s="93" t="s">
        <v>4014</v>
      </c>
      <c r="M593" s="94" t="s">
        <v>4015</v>
      </c>
      <c r="N593" s="95" t="s">
        <v>3734</v>
      </c>
      <c r="O593" s="98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spans="1:27" x14ac:dyDescent="0.25">
      <c r="A594" s="88"/>
      <c r="B594" s="30"/>
      <c r="C594" s="30"/>
      <c r="D594" s="30"/>
      <c r="E594" s="30"/>
      <c r="F594" s="88"/>
      <c r="G594" s="88"/>
      <c r="H594" s="30"/>
      <c r="I594" s="96"/>
      <c r="J594" s="97"/>
      <c r="K594" s="93">
        <v>323</v>
      </c>
      <c r="L594" s="93" t="s">
        <v>4016</v>
      </c>
      <c r="M594" s="94" t="s">
        <v>4017</v>
      </c>
      <c r="N594" s="95" t="s">
        <v>3550</v>
      </c>
      <c r="O594" s="98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spans="1:27" x14ac:dyDescent="0.25">
      <c r="A595" s="88"/>
      <c r="B595" s="30"/>
      <c r="C595" s="30"/>
      <c r="D595" s="30"/>
      <c r="E595" s="30"/>
      <c r="F595" s="88"/>
      <c r="G595" s="88"/>
      <c r="H595" s="30"/>
      <c r="I595" s="96"/>
      <c r="J595" s="97"/>
      <c r="K595" s="93">
        <v>321</v>
      </c>
      <c r="L595" s="93" t="s">
        <v>4020</v>
      </c>
      <c r="M595" s="94" t="s">
        <v>4021</v>
      </c>
      <c r="N595" s="95" t="s">
        <v>3588</v>
      </c>
      <c r="O595" s="98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spans="1:27" x14ac:dyDescent="0.25">
      <c r="A596" s="88"/>
      <c r="B596" s="30"/>
      <c r="C596" s="30"/>
      <c r="D596" s="30"/>
      <c r="E596" s="30"/>
      <c r="F596" s="88"/>
      <c r="G596" s="88"/>
      <c r="H596" s="30"/>
      <c r="I596" s="96"/>
      <c r="J596" s="97"/>
      <c r="K596" s="93">
        <v>320</v>
      </c>
      <c r="L596" s="93" t="s">
        <v>4022</v>
      </c>
      <c r="M596" s="94" t="s">
        <v>4023</v>
      </c>
      <c r="N596" s="95" t="s">
        <v>3601</v>
      </c>
      <c r="O596" s="98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spans="1:27" x14ac:dyDescent="0.25">
      <c r="A597" s="88"/>
      <c r="B597" s="30"/>
      <c r="C597" s="30"/>
      <c r="D597" s="30"/>
      <c r="E597" s="30"/>
      <c r="F597" s="88"/>
      <c r="G597" s="88"/>
      <c r="H597" s="30"/>
      <c r="I597" s="96"/>
      <c r="J597" s="97"/>
      <c r="K597" s="93">
        <v>319</v>
      </c>
      <c r="L597" s="93" t="s">
        <v>4024</v>
      </c>
      <c r="M597" s="94" t="s">
        <v>4025</v>
      </c>
      <c r="N597" s="95" t="s">
        <v>3833</v>
      </c>
      <c r="O597" s="98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spans="1:27" x14ac:dyDescent="0.25">
      <c r="A598" s="88"/>
      <c r="B598" s="30"/>
      <c r="C598" s="30"/>
      <c r="D598" s="30"/>
      <c r="E598" s="30"/>
      <c r="F598" s="88"/>
      <c r="G598" s="88"/>
      <c r="H598" s="30"/>
      <c r="I598" s="96"/>
      <c r="J598" s="97"/>
      <c r="K598" s="93">
        <v>318</v>
      </c>
      <c r="L598" s="93" t="s">
        <v>4026</v>
      </c>
      <c r="M598" s="94" t="s">
        <v>4027</v>
      </c>
      <c r="N598" s="95" t="s">
        <v>3734</v>
      </c>
      <c r="O598" s="98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spans="1:27" x14ac:dyDescent="0.25">
      <c r="A599" s="88"/>
      <c r="B599" s="30"/>
      <c r="C599" s="30"/>
      <c r="D599" s="30"/>
      <c r="E599" s="30"/>
      <c r="F599" s="88"/>
      <c r="G599" s="88"/>
      <c r="H599" s="30"/>
      <c r="I599" s="96"/>
      <c r="J599" s="97"/>
      <c r="K599" s="93">
        <v>316.10000000000002</v>
      </c>
      <c r="L599" s="93" t="s">
        <v>4030</v>
      </c>
      <c r="M599" s="94" t="s">
        <v>4031</v>
      </c>
      <c r="N599" s="95" t="s">
        <v>3729</v>
      </c>
      <c r="O599" s="98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spans="1:27" x14ac:dyDescent="0.25">
      <c r="A600" s="88"/>
      <c r="B600" s="30"/>
      <c r="C600" s="30"/>
      <c r="D600" s="30"/>
      <c r="E600" s="30"/>
      <c r="F600" s="88"/>
      <c r="G600" s="88"/>
      <c r="H600" s="30"/>
      <c r="I600" s="96"/>
      <c r="J600" s="97"/>
      <c r="K600" s="93">
        <v>316</v>
      </c>
      <c r="L600" s="93" t="s">
        <v>4030</v>
      </c>
      <c r="M600" s="94" t="s">
        <v>4032</v>
      </c>
      <c r="N600" s="95" t="s">
        <v>3991</v>
      </c>
      <c r="O600" s="98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spans="1:27" x14ac:dyDescent="0.25">
      <c r="A601" s="88"/>
      <c r="B601" s="30"/>
      <c r="C601" s="30"/>
      <c r="D601" s="30"/>
      <c r="E601" s="30"/>
      <c r="F601" s="88"/>
      <c r="G601" s="88"/>
      <c r="H601" s="30"/>
      <c r="I601" s="96"/>
      <c r="J601" s="97"/>
      <c r="K601" s="93">
        <v>314</v>
      </c>
      <c r="L601" s="93" t="s">
        <v>4035</v>
      </c>
      <c r="M601" s="94" t="s">
        <v>4036</v>
      </c>
      <c r="N601" s="95" t="s">
        <v>3734</v>
      </c>
      <c r="O601" s="98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spans="1:27" x14ac:dyDescent="0.25">
      <c r="A602" s="88"/>
      <c r="B602" s="30"/>
      <c r="C602" s="30"/>
      <c r="D602" s="30"/>
      <c r="E602" s="30"/>
      <c r="F602" s="88"/>
      <c r="G602" s="88"/>
      <c r="H602" s="30"/>
      <c r="I602" s="96"/>
      <c r="J602" s="97"/>
      <c r="K602" s="93">
        <v>313</v>
      </c>
      <c r="L602" s="93" t="s">
        <v>4037</v>
      </c>
      <c r="M602" s="94" t="s">
        <v>4038</v>
      </c>
      <c r="N602" s="95" t="s">
        <v>3555</v>
      </c>
      <c r="O602" s="98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spans="1:27" x14ac:dyDescent="0.25">
      <c r="A603" s="88"/>
      <c r="B603" s="30"/>
      <c r="C603" s="30"/>
      <c r="D603" s="30"/>
      <c r="E603" s="30"/>
      <c r="F603" s="88"/>
      <c r="G603" s="88"/>
      <c r="H603" s="30"/>
      <c r="I603" s="96"/>
      <c r="J603" s="97"/>
      <c r="K603" s="93">
        <v>308</v>
      </c>
      <c r="L603" s="93" t="s">
        <v>4047</v>
      </c>
      <c r="M603" s="94" t="s">
        <v>4048</v>
      </c>
      <c r="N603" s="95" t="s">
        <v>3585</v>
      </c>
      <c r="O603" s="98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spans="1:27" x14ac:dyDescent="0.25">
      <c r="A604" s="88"/>
      <c r="B604" s="30"/>
      <c r="C604" s="30"/>
      <c r="D604" s="30"/>
      <c r="E604" s="30"/>
      <c r="F604" s="88"/>
      <c r="G604" s="88"/>
      <c r="H604" s="30"/>
      <c r="I604" s="96"/>
      <c r="J604" s="97"/>
      <c r="K604" s="93">
        <v>306</v>
      </c>
      <c r="L604" s="93" t="s">
        <v>4049</v>
      </c>
      <c r="M604" s="94" t="s">
        <v>4050</v>
      </c>
      <c r="N604" s="95" t="s">
        <v>3868</v>
      </c>
      <c r="O604" s="98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spans="1:27" x14ac:dyDescent="0.25">
      <c r="A605" s="88"/>
      <c r="B605" s="30"/>
      <c r="C605" s="30"/>
      <c r="D605" s="30"/>
      <c r="E605" s="30"/>
      <c r="F605" s="88"/>
      <c r="G605" s="88"/>
      <c r="H605" s="30"/>
      <c r="I605" s="96"/>
      <c r="J605" s="97"/>
      <c r="K605" s="93">
        <v>305</v>
      </c>
      <c r="L605" s="93" t="s">
        <v>4051</v>
      </c>
      <c r="M605" s="94" t="s">
        <v>4052</v>
      </c>
      <c r="N605" s="95" t="s">
        <v>3664</v>
      </c>
      <c r="O605" s="98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spans="1:27" x14ac:dyDescent="0.25">
      <c r="A606" s="88"/>
      <c r="B606" s="30"/>
      <c r="C606" s="30"/>
      <c r="D606" s="30"/>
      <c r="E606" s="30"/>
      <c r="F606" s="88"/>
      <c r="G606" s="88"/>
      <c r="H606" s="30"/>
      <c r="I606" s="96"/>
      <c r="J606" s="97"/>
      <c r="K606" s="93">
        <v>304</v>
      </c>
      <c r="L606" s="93" t="s">
        <v>4053</v>
      </c>
      <c r="M606" s="94" t="s">
        <v>4054</v>
      </c>
      <c r="N606" s="95" t="s">
        <v>3594</v>
      </c>
      <c r="O606" s="98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spans="1:27" x14ac:dyDescent="0.25">
      <c r="A607" s="88"/>
      <c r="B607" s="30"/>
      <c r="C607" s="30"/>
      <c r="D607" s="30"/>
      <c r="E607" s="30"/>
      <c r="F607" s="88"/>
      <c r="G607" s="88"/>
      <c r="H607" s="30"/>
      <c r="I607" s="96"/>
      <c r="J607" s="97"/>
      <c r="K607" s="93">
        <v>303</v>
      </c>
      <c r="L607" s="93" t="s">
        <v>4055</v>
      </c>
      <c r="M607" s="94" t="s">
        <v>4056</v>
      </c>
      <c r="N607" s="95" t="s">
        <v>3585</v>
      </c>
      <c r="O607" s="98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spans="1:27" x14ac:dyDescent="0.25">
      <c r="A608" s="88"/>
      <c r="B608" s="30"/>
      <c r="C608" s="30"/>
      <c r="D608" s="30"/>
      <c r="E608" s="30"/>
      <c r="F608" s="88"/>
      <c r="G608" s="88"/>
      <c r="H608" s="30"/>
      <c r="I608" s="96"/>
      <c r="J608" s="97"/>
      <c r="K608" s="93">
        <v>301</v>
      </c>
      <c r="L608" s="93" t="s">
        <v>4059</v>
      </c>
      <c r="M608" s="94" t="s">
        <v>4060</v>
      </c>
      <c r="N608" s="95" t="s">
        <v>3588</v>
      </c>
      <c r="O608" s="98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spans="1:27" x14ac:dyDescent="0.25">
      <c r="A609" s="88"/>
      <c r="B609" s="30"/>
      <c r="C609" s="30"/>
      <c r="D609" s="30"/>
      <c r="E609" s="30"/>
      <c r="F609" s="88"/>
      <c r="G609" s="88"/>
      <c r="H609" s="30"/>
      <c r="I609" s="96"/>
      <c r="J609" s="97"/>
      <c r="K609" s="93">
        <v>298.10000000000002</v>
      </c>
      <c r="L609" s="93" t="s">
        <v>3992</v>
      </c>
      <c r="M609" s="94" t="s">
        <v>3993</v>
      </c>
      <c r="N609" s="95" t="s">
        <v>3729</v>
      </c>
      <c r="O609" s="98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spans="1:27" x14ac:dyDescent="0.25">
      <c r="A610" s="88"/>
      <c r="B610" s="30"/>
      <c r="C610" s="30"/>
      <c r="D610" s="30"/>
      <c r="E610" s="30"/>
      <c r="F610" s="88"/>
      <c r="G610" s="88"/>
      <c r="H610" s="30"/>
      <c r="I610" s="96"/>
      <c r="J610" s="97"/>
      <c r="K610" s="93">
        <v>298</v>
      </c>
      <c r="L610" s="93" t="s">
        <v>3992</v>
      </c>
      <c r="M610" s="94" t="s">
        <v>4063</v>
      </c>
      <c r="N610" s="95" t="s">
        <v>3868</v>
      </c>
      <c r="O610" s="98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spans="1:27" x14ac:dyDescent="0.25">
      <c r="A611" s="88"/>
      <c r="B611" s="30"/>
      <c r="C611" s="30"/>
      <c r="D611" s="30"/>
      <c r="E611" s="30"/>
      <c r="F611" s="88"/>
      <c r="G611" s="88"/>
      <c r="H611" s="30"/>
      <c r="I611" s="96"/>
      <c r="J611" s="97"/>
      <c r="K611" s="93">
        <v>297</v>
      </c>
      <c r="L611" s="93" t="s">
        <v>4064</v>
      </c>
      <c r="M611" s="94" t="s">
        <v>4065</v>
      </c>
      <c r="N611" s="95" t="s">
        <v>3664</v>
      </c>
      <c r="O611" s="98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spans="1:27" x14ac:dyDescent="0.25">
      <c r="A612" s="88"/>
      <c r="B612" s="30"/>
      <c r="C612" s="30"/>
      <c r="D612" s="30"/>
      <c r="E612" s="30"/>
      <c r="F612" s="88"/>
      <c r="G612" s="88"/>
      <c r="H612" s="30"/>
      <c r="I612" s="96"/>
      <c r="J612" s="97"/>
      <c r="K612" s="93">
        <v>296</v>
      </c>
      <c r="L612" s="93" t="s">
        <v>4066</v>
      </c>
      <c r="M612" s="94" t="s">
        <v>4067</v>
      </c>
      <c r="N612" s="95" t="s">
        <v>4068</v>
      </c>
      <c r="O612" s="98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spans="1:27" x14ac:dyDescent="0.25">
      <c r="A613" s="88"/>
      <c r="B613" s="30"/>
      <c r="C613" s="30"/>
      <c r="D613" s="30"/>
      <c r="E613" s="30"/>
      <c r="F613" s="88"/>
      <c r="G613" s="88"/>
      <c r="H613" s="30"/>
      <c r="I613" s="96"/>
      <c r="J613" s="97"/>
      <c r="K613" s="93">
        <v>295</v>
      </c>
      <c r="L613" s="93" t="s">
        <v>4069</v>
      </c>
      <c r="M613" s="94" t="s">
        <v>4070</v>
      </c>
      <c r="N613" s="95" t="s">
        <v>3553</v>
      </c>
      <c r="O613" s="98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spans="1:27" x14ac:dyDescent="0.25">
      <c r="A614" s="88"/>
      <c r="B614" s="30"/>
      <c r="C614" s="30"/>
      <c r="D614" s="30"/>
      <c r="E614" s="30"/>
      <c r="F614" s="88"/>
      <c r="G614" s="88"/>
      <c r="H614" s="30"/>
      <c r="I614" s="96"/>
      <c r="J614" s="97"/>
      <c r="K614" s="93">
        <v>294</v>
      </c>
      <c r="L614" s="93" t="s">
        <v>4071</v>
      </c>
      <c r="M614" s="94" t="s">
        <v>4072</v>
      </c>
      <c r="N614" s="95" t="s">
        <v>3553</v>
      </c>
      <c r="O614" s="98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spans="1:27" x14ac:dyDescent="0.25">
      <c r="A615" s="88"/>
      <c r="B615" s="30"/>
      <c r="C615" s="30"/>
      <c r="D615" s="30"/>
      <c r="E615" s="30"/>
      <c r="F615" s="88"/>
      <c r="G615" s="88"/>
      <c r="H615" s="30"/>
      <c r="I615" s="96"/>
      <c r="J615" s="97"/>
      <c r="K615" s="93">
        <v>292</v>
      </c>
      <c r="L615" s="93" t="s">
        <v>4075</v>
      </c>
      <c r="M615" s="94" t="s">
        <v>4076</v>
      </c>
      <c r="N615" s="95" t="s">
        <v>4068</v>
      </c>
      <c r="O615" s="98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spans="1:27" x14ac:dyDescent="0.25">
      <c r="A616" s="88"/>
      <c r="B616" s="30"/>
      <c r="C616" s="30"/>
      <c r="D616" s="30"/>
      <c r="E616" s="30"/>
      <c r="F616" s="88"/>
      <c r="G616" s="88"/>
      <c r="H616" s="30"/>
      <c r="I616" s="96"/>
      <c r="J616" s="97"/>
      <c r="K616" s="93">
        <v>289</v>
      </c>
      <c r="L616" s="93" t="s">
        <v>4082</v>
      </c>
      <c r="M616" s="94" t="s">
        <v>4083</v>
      </c>
      <c r="N616" s="95" t="s">
        <v>3553</v>
      </c>
      <c r="O616" s="98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spans="1:27" x14ac:dyDescent="0.25">
      <c r="A617" s="88"/>
      <c r="B617" s="30"/>
      <c r="C617" s="30"/>
      <c r="D617" s="30"/>
      <c r="E617" s="30"/>
      <c r="F617" s="88"/>
      <c r="G617" s="88"/>
      <c r="H617" s="30"/>
      <c r="I617" s="96"/>
      <c r="J617" s="97"/>
      <c r="K617" s="93">
        <v>283</v>
      </c>
      <c r="L617" s="93" t="s">
        <v>4094</v>
      </c>
      <c r="M617" s="94" t="s">
        <v>4096</v>
      </c>
      <c r="N617" s="95" t="s">
        <v>3562</v>
      </c>
      <c r="O617" s="98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spans="1:27" x14ac:dyDescent="0.25">
      <c r="A618" s="88"/>
      <c r="B618" s="30"/>
      <c r="C618" s="30"/>
      <c r="D618" s="30"/>
      <c r="E618" s="30"/>
      <c r="F618" s="88"/>
      <c r="G618" s="88"/>
      <c r="H618" s="30"/>
      <c r="I618" s="96"/>
      <c r="J618" s="97"/>
      <c r="K618" s="93">
        <v>282</v>
      </c>
      <c r="L618" s="93" t="s">
        <v>4097</v>
      </c>
      <c r="M618" s="94" t="s">
        <v>4098</v>
      </c>
      <c r="N618" s="95" t="s">
        <v>4068</v>
      </c>
      <c r="O618" s="98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spans="1:27" x14ac:dyDescent="0.25">
      <c r="A619" s="88"/>
      <c r="B619" s="30"/>
      <c r="C619" s="30"/>
      <c r="D619" s="30"/>
      <c r="E619" s="30"/>
      <c r="F619" s="88"/>
      <c r="G619" s="88"/>
      <c r="H619" s="30"/>
      <c r="I619" s="96"/>
      <c r="J619" s="97"/>
      <c r="K619" s="93">
        <v>281</v>
      </c>
      <c r="L619" s="93" t="s">
        <v>4099</v>
      </c>
      <c r="M619" s="94" t="s">
        <v>4100</v>
      </c>
      <c r="N619" s="95" t="s">
        <v>3590</v>
      </c>
      <c r="O619" s="98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spans="1:27" x14ac:dyDescent="0.25">
      <c r="A620" s="88"/>
      <c r="B620" s="30"/>
      <c r="C620" s="30"/>
      <c r="D620" s="30"/>
      <c r="E620" s="30"/>
      <c r="F620" s="88"/>
      <c r="G620" s="88"/>
      <c r="H620" s="30"/>
      <c r="I620" s="96"/>
      <c r="J620" s="97"/>
      <c r="K620" s="93">
        <v>280</v>
      </c>
      <c r="L620" s="93" t="s">
        <v>4101</v>
      </c>
      <c r="M620" s="94" t="s">
        <v>4103</v>
      </c>
      <c r="N620" s="95" t="s">
        <v>3583</v>
      </c>
      <c r="O620" s="98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spans="1:27" x14ac:dyDescent="0.25">
      <c r="A621" s="88"/>
      <c r="B621" s="30"/>
      <c r="C621" s="30"/>
      <c r="D621" s="30"/>
      <c r="E621" s="30"/>
      <c r="F621" s="88"/>
      <c r="G621" s="88"/>
      <c r="H621" s="30"/>
      <c r="I621" s="96"/>
      <c r="J621" s="97"/>
      <c r="K621" s="93">
        <v>278</v>
      </c>
      <c r="L621" s="93" t="s">
        <v>4106</v>
      </c>
      <c r="M621" s="94" t="s">
        <v>4107</v>
      </c>
      <c r="N621" s="95" t="s">
        <v>3562</v>
      </c>
      <c r="O621" s="98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spans="1:27" x14ac:dyDescent="0.25">
      <c r="A622" s="88"/>
      <c r="B622" s="30"/>
      <c r="C622" s="30"/>
      <c r="D622" s="30"/>
      <c r="E622" s="30"/>
      <c r="F622" s="88"/>
      <c r="G622" s="88"/>
      <c r="H622" s="30"/>
      <c r="I622" s="96"/>
      <c r="J622" s="97"/>
      <c r="K622" s="93">
        <v>272</v>
      </c>
      <c r="L622" s="93" t="s">
        <v>3674</v>
      </c>
      <c r="M622" s="94" t="s">
        <v>3675</v>
      </c>
      <c r="N622" s="95" t="s">
        <v>3585</v>
      </c>
      <c r="O622" s="98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spans="1:27" x14ac:dyDescent="0.25">
      <c r="A623" s="88"/>
      <c r="B623" s="30"/>
      <c r="C623" s="30"/>
      <c r="D623" s="30"/>
      <c r="E623" s="30"/>
      <c r="F623" s="88"/>
      <c r="G623" s="88"/>
      <c r="H623" s="30"/>
      <c r="I623" s="96"/>
      <c r="J623" s="97"/>
      <c r="K623" s="93">
        <v>269</v>
      </c>
      <c r="L623" s="93" t="s">
        <v>4115</v>
      </c>
      <c r="M623" s="94" t="s">
        <v>4116</v>
      </c>
      <c r="N623" s="95" t="s">
        <v>3868</v>
      </c>
      <c r="O623" s="98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spans="1:27" x14ac:dyDescent="0.25">
      <c r="A624" s="88"/>
      <c r="B624" s="30"/>
      <c r="C624" s="30"/>
      <c r="D624" s="30"/>
      <c r="E624" s="30"/>
      <c r="F624" s="88"/>
      <c r="G624" s="88"/>
      <c r="H624" s="30"/>
      <c r="I624" s="96"/>
      <c r="J624" s="97"/>
      <c r="K624" s="93">
        <v>264.10000000000002</v>
      </c>
      <c r="L624" s="93" t="s">
        <v>4117</v>
      </c>
      <c r="M624" s="94" t="s">
        <v>4264</v>
      </c>
      <c r="N624" s="95" t="s">
        <v>3729</v>
      </c>
      <c r="O624" s="98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spans="1:27" x14ac:dyDescent="0.25">
      <c r="A625" s="88"/>
      <c r="B625" s="30"/>
      <c r="C625" s="30"/>
      <c r="D625" s="30"/>
      <c r="E625" s="30"/>
      <c r="F625" s="88"/>
      <c r="G625" s="88"/>
      <c r="H625" s="30"/>
      <c r="I625" s="96"/>
      <c r="J625" s="97"/>
      <c r="K625" s="93">
        <v>264</v>
      </c>
      <c r="L625" s="93" t="s">
        <v>4117</v>
      </c>
      <c r="M625" s="94" t="s">
        <v>4118</v>
      </c>
      <c r="N625" s="95" t="s">
        <v>3615</v>
      </c>
      <c r="O625" s="98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spans="1:27" x14ac:dyDescent="0.25">
      <c r="A626" s="88"/>
      <c r="B626" s="30"/>
      <c r="C626" s="30"/>
      <c r="D626" s="30"/>
      <c r="E626" s="30"/>
      <c r="F626" s="88"/>
      <c r="G626" s="88"/>
      <c r="H626" s="30"/>
      <c r="I626" s="96"/>
      <c r="J626" s="97"/>
      <c r="K626" s="93">
        <v>263</v>
      </c>
      <c r="L626" s="93" t="s">
        <v>4119</v>
      </c>
      <c r="M626" s="94" t="s">
        <v>4120</v>
      </c>
      <c r="N626" s="95" t="s">
        <v>3594</v>
      </c>
      <c r="O626" s="98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spans="1:27" x14ac:dyDescent="0.25">
      <c r="A627" s="88"/>
      <c r="B627" s="30"/>
      <c r="C627" s="30"/>
      <c r="D627" s="30"/>
      <c r="E627" s="30"/>
      <c r="F627" s="88"/>
      <c r="G627" s="88"/>
      <c r="H627" s="30"/>
      <c r="I627" s="96"/>
      <c r="J627" s="97"/>
      <c r="K627" s="93">
        <v>259.10000000000002</v>
      </c>
      <c r="L627" s="93" t="s">
        <v>4123</v>
      </c>
      <c r="M627" s="94" t="s">
        <v>4124</v>
      </c>
      <c r="N627" s="95" t="s">
        <v>3729</v>
      </c>
      <c r="O627" s="98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spans="1:27" x14ac:dyDescent="0.25">
      <c r="A628" s="88"/>
      <c r="B628" s="30"/>
      <c r="C628" s="30"/>
      <c r="D628" s="30"/>
      <c r="E628" s="30"/>
      <c r="F628" s="88"/>
      <c r="G628" s="88"/>
      <c r="H628" s="30"/>
      <c r="I628" s="96"/>
      <c r="J628" s="97"/>
      <c r="K628" s="93">
        <v>259</v>
      </c>
      <c r="L628" s="93" t="s">
        <v>4123</v>
      </c>
      <c r="M628" s="94" t="s">
        <v>4125</v>
      </c>
      <c r="N628" s="95" t="s">
        <v>3815</v>
      </c>
      <c r="O628" s="98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spans="1:27" x14ac:dyDescent="0.25">
      <c r="A629" s="88"/>
      <c r="B629" s="30"/>
      <c r="C629" s="30"/>
      <c r="D629" s="30"/>
      <c r="E629" s="30"/>
      <c r="F629" s="88"/>
      <c r="G629" s="88"/>
      <c r="H629" s="30"/>
      <c r="I629" s="96"/>
      <c r="J629" s="97"/>
      <c r="K629" s="93">
        <v>250</v>
      </c>
      <c r="L629" s="93" t="s">
        <v>4136</v>
      </c>
      <c r="M629" s="94" t="s">
        <v>4138</v>
      </c>
      <c r="N629" s="95" t="s">
        <v>3562</v>
      </c>
      <c r="O629" s="98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spans="1:27" x14ac:dyDescent="0.25">
      <c r="A630" s="88"/>
      <c r="B630" s="30"/>
      <c r="C630" s="30"/>
      <c r="D630" s="30"/>
      <c r="E630" s="30"/>
      <c r="F630" s="88"/>
      <c r="G630" s="88"/>
      <c r="H630" s="30"/>
      <c r="I630" s="96"/>
      <c r="J630" s="97"/>
      <c r="K630" s="93">
        <v>248.1</v>
      </c>
      <c r="L630" s="93" t="s">
        <v>3994</v>
      </c>
      <c r="M630" s="94" t="s">
        <v>3995</v>
      </c>
      <c r="N630" s="95" t="s">
        <v>3729</v>
      </c>
      <c r="O630" s="98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spans="1:27" x14ac:dyDescent="0.25">
      <c r="A631" s="88"/>
      <c r="B631" s="30"/>
      <c r="C631" s="30"/>
      <c r="D631" s="30"/>
      <c r="E631" s="30"/>
      <c r="F631" s="88"/>
      <c r="G631" s="88"/>
      <c r="H631" s="30"/>
      <c r="I631" s="96"/>
      <c r="J631" s="97"/>
      <c r="K631" s="93">
        <v>248</v>
      </c>
      <c r="L631" s="93" t="s">
        <v>3994</v>
      </c>
      <c r="M631" s="94" t="s">
        <v>4141</v>
      </c>
      <c r="N631" s="95" t="s">
        <v>3558</v>
      </c>
      <c r="O631" s="98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spans="1:27" x14ac:dyDescent="0.25">
      <c r="A632" s="88"/>
      <c r="B632" s="30"/>
      <c r="C632" s="30"/>
      <c r="D632" s="30"/>
      <c r="E632" s="30"/>
      <c r="F632" s="88"/>
      <c r="G632" s="88"/>
      <c r="H632" s="30"/>
      <c r="I632" s="96"/>
      <c r="J632" s="97"/>
      <c r="K632" s="93">
        <v>246.1</v>
      </c>
      <c r="L632" s="93" t="s">
        <v>3996</v>
      </c>
      <c r="M632" s="94" t="s">
        <v>3997</v>
      </c>
      <c r="N632" s="95" t="s">
        <v>3729</v>
      </c>
      <c r="O632" s="98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spans="1:27" x14ac:dyDescent="0.25">
      <c r="A633" s="88"/>
      <c r="B633" s="30"/>
      <c r="C633" s="30"/>
      <c r="D633" s="30"/>
      <c r="E633" s="30"/>
      <c r="F633" s="88"/>
      <c r="G633" s="88"/>
      <c r="H633" s="30"/>
      <c r="I633" s="96"/>
      <c r="J633" s="97"/>
      <c r="K633" s="93">
        <v>246</v>
      </c>
      <c r="L633" s="93" t="s">
        <v>3996</v>
      </c>
      <c r="M633" s="94" t="s">
        <v>4142</v>
      </c>
      <c r="N633" s="95" t="s">
        <v>3558</v>
      </c>
      <c r="O633" s="98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spans="1:27" x14ac:dyDescent="0.25">
      <c r="A634" s="88"/>
      <c r="B634" s="30"/>
      <c r="C634" s="30"/>
      <c r="D634" s="30"/>
      <c r="E634" s="30"/>
      <c r="F634" s="88"/>
      <c r="G634" s="88"/>
      <c r="H634" s="30"/>
      <c r="I634" s="96"/>
      <c r="J634" s="97"/>
      <c r="K634" s="93">
        <v>245</v>
      </c>
      <c r="L634" s="93" t="s">
        <v>4143</v>
      </c>
      <c r="M634" s="94" t="s">
        <v>4144</v>
      </c>
      <c r="N634" s="95" t="s">
        <v>3553</v>
      </c>
      <c r="O634" s="98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spans="1:27" x14ac:dyDescent="0.25">
      <c r="A635" s="88"/>
      <c r="B635" s="30"/>
      <c r="C635" s="30"/>
      <c r="D635" s="30"/>
      <c r="E635" s="30"/>
      <c r="F635" s="88"/>
      <c r="G635" s="88"/>
      <c r="H635" s="30"/>
      <c r="I635" s="96"/>
      <c r="J635" s="97"/>
      <c r="K635" s="93">
        <v>241</v>
      </c>
      <c r="L635" s="93" t="s">
        <v>4149</v>
      </c>
      <c r="M635" s="94" t="s">
        <v>4150</v>
      </c>
      <c r="N635" s="95"/>
      <c r="O635" s="98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spans="1:27" x14ac:dyDescent="0.25">
      <c r="A636" s="88"/>
      <c r="B636" s="30"/>
      <c r="C636" s="30"/>
      <c r="D636" s="30"/>
      <c r="E636" s="30"/>
      <c r="F636" s="88"/>
      <c r="G636" s="88"/>
      <c r="H636" s="30"/>
      <c r="I636" s="96"/>
      <c r="J636" s="97"/>
      <c r="K636" s="93">
        <v>240</v>
      </c>
      <c r="L636" s="93" t="s">
        <v>3682</v>
      </c>
      <c r="M636" s="94" t="s">
        <v>3683</v>
      </c>
      <c r="N636" s="95" t="s">
        <v>3562</v>
      </c>
      <c r="O636" s="98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spans="1:27" x14ac:dyDescent="0.25">
      <c r="A637" s="88"/>
      <c r="B637" s="30"/>
      <c r="C637" s="30"/>
      <c r="D637" s="30"/>
      <c r="E637" s="30"/>
      <c r="F637" s="88"/>
      <c r="G637" s="88"/>
      <c r="H637" s="30"/>
      <c r="I637" s="96"/>
      <c r="J637" s="97"/>
      <c r="K637" s="93">
        <v>239</v>
      </c>
      <c r="L637" s="93" t="s">
        <v>4151</v>
      </c>
      <c r="M637" s="94" t="s">
        <v>4152</v>
      </c>
      <c r="N637" s="95" t="s">
        <v>3588</v>
      </c>
      <c r="O637" s="98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spans="1:27" x14ac:dyDescent="0.25">
      <c r="A638" s="88"/>
      <c r="B638" s="30"/>
      <c r="C638" s="30"/>
      <c r="D638" s="30"/>
      <c r="E638" s="30"/>
      <c r="F638" s="88"/>
      <c r="G638" s="88"/>
      <c r="H638" s="30"/>
      <c r="I638" s="96"/>
      <c r="J638" s="97"/>
      <c r="K638" s="93">
        <v>236</v>
      </c>
      <c r="L638" s="93" t="s">
        <v>4153</v>
      </c>
      <c r="M638" s="94" t="s">
        <v>4154</v>
      </c>
      <c r="N638" s="95" t="s">
        <v>3588</v>
      </c>
      <c r="O638" s="98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spans="1:27" x14ac:dyDescent="0.25">
      <c r="A639" s="88"/>
      <c r="B639" s="30"/>
      <c r="C639" s="30"/>
      <c r="D639" s="30"/>
      <c r="E639" s="30"/>
      <c r="F639" s="88"/>
      <c r="G639" s="88"/>
      <c r="H639" s="30"/>
      <c r="I639" s="96"/>
      <c r="J639" s="97"/>
      <c r="K639" s="93">
        <v>233</v>
      </c>
      <c r="L639" s="93" t="s">
        <v>4155</v>
      </c>
      <c r="M639" s="94" t="s">
        <v>4156</v>
      </c>
      <c r="N639" s="95" t="s">
        <v>4068</v>
      </c>
      <c r="O639" s="98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spans="1:27" x14ac:dyDescent="0.25">
      <c r="A640" s="88"/>
      <c r="B640" s="30"/>
      <c r="C640" s="30"/>
      <c r="D640" s="30"/>
      <c r="E640" s="30"/>
      <c r="F640" s="88"/>
      <c r="G640" s="88"/>
      <c r="H640" s="30"/>
      <c r="I640" s="96"/>
      <c r="J640" s="97"/>
      <c r="K640" s="93">
        <v>231</v>
      </c>
      <c r="L640" s="93" t="s">
        <v>4157</v>
      </c>
      <c r="M640" s="94" t="s">
        <v>4158</v>
      </c>
      <c r="N640" s="95" t="s">
        <v>4068</v>
      </c>
      <c r="O640" s="98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spans="1:27" x14ac:dyDescent="0.25">
      <c r="A641" s="88"/>
      <c r="B641" s="30"/>
      <c r="C641" s="30"/>
      <c r="D641" s="30"/>
      <c r="E641" s="30"/>
      <c r="F641" s="88"/>
      <c r="G641" s="88"/>
      <c r="H641" s="30"/>
      <c r="I641" s="96"/>
      <c r="J641" s="97"/>
      <c r="K641" s="93">
        <v>230</v>
      </c>
      <c r="L641" s="93" t="s">
        <v>4159</v>
      </c>
      <c r="M641" s="94" t="s">
        <v>4161</v>
      </c>
      <c r="N641" s="95" t="s">
        <v>3734</v>
      </c>
      <c r="O641" s="98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spans="1:27" x14ac:dyDescent="0.25">
      <c r="A642" s="88"/>
      <c r="B642" s="30"/>
      <c r="C642" s="30"/>
      <c r="D642" s="30"/>
      <c r="E642" s="30"/>
      <c r="F642" s="88"/>
      <c r="G642" s="88"/>
      <c r="H642" s="30"/>
      <c r="I642" s="96"/>
      <c r="J642" s="97"/>
      <c r="K642" s="93">
        <v>228</v>
      </c>
      <c r="L642" s="93" t="s">
        <v>3559</v>
      </c>
      <c r="M642" s="94" t="s">
        <v>3686</v>
      </c>
      <c r="N642" s="95" t="s">
        <v>3604</v>
      </c>
      <c r="O642" s="98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spans="1:27" x14ac:dyDescent="0.25">
      <c r="A643" s="88"/>
      <c r="B643" s="30"/>
      <c r="C643" s="30"/>
      <c r="D643" s="30"/>
      <c r="E643" s="30"/>
      <c r="F643" s="88"/>
      <c r="G643" s="88"/>
      <c r="H643" s="30"/>
      <c r="I643" s="96"/>
      <c r="J643" s="97"/>
      <c r="K643" s="93">
        <v>219</v>
      </c>
      <c r="L643" s="93" t="s">
        <v>4174</v>
      </c>
      <c r="M643" s="94" t="s">
        <v>4175</v>
      </c>
      <c r="N643" s="95" t="s">
        <v>3588</v>
      </c>
      <c r="O643" s="98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spans="1:27" x14ac:dyDescent="0.25">
      <c r="A644" s="88"/>
      <c r="B644" s="30"/>
      <c r="C644" s="30"/>
      <c r="D644" s="30"/>
      <c r="E644" s="30"/>
      <c r="F644" s="88"/>
      <c r="G644" s="88"/>
      <c r="H644" s="30"/>
      <c r="I644" s="96"/>
      <c r="J644" s="97"/>
      <c r="K644" s="93">
        <v>218</v>
      </c>
      <c r="L644" s="93" t="s">
        <v>4176</v>
      </c>
      <c r="M644" s="94" t="s">
        <v>4177</v>
      </c>
      <c r="N644" s="95" t="s">
        <v>3594</v>
      </c>
      <c r="O644" s="98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spans="1:27" x14ac:dyDescent="0.25">
      <c r="A645" s="88"/>
      <c r="B645" s="30"/>
      <c r="C645" s="30"/>
      <c r="D645" s="30"/>
      <c r="E645" s="30"/>
      <c r="F645" s="88"/>
      <c r="G645" s="88"/>
      <c r="H645" s="30"/>
      <c r="I645" s="96"/>
      <c r="J645" s="97"/>
      <c r="K645" s="93">
        <v>217</v>
      </c>
      <c r="L645" s="93" t="s">
        <v>4178</v>
      </c>
      <c r="M645" s="94" t="s">
        <v>4179</v>
      </c>
      <c r="N645" s="95" t="s">
        <v>3594</v>
      </c>
      <c r="O645" s="98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spans="1:27" x14ac:dyDescent="0.25">
      <c r="A646" s="88"/>
      <c r="B646" s="30"/>
      <c r="C646" s="30"/>
      <c r="D646" s="30"/>
      <c r="E646" s="30"/>
      <c r="F646" s="88"/>
      <c r="G646" s="88"/>
      <c r="H646" s="30"/>
      <c r="I646" s="96"/>
      <c r="J646" s="97"/>
      <c r="K646" s="93">
        <v>213</v>
      </c>
      <c r="L646" s="93" t="s">
        <v>3650</v>
      </c>
      <c r="M646" s="94" t="s">
        <v>3651</v>
      </c>
      <c r="N646" s="95" t="s">
        <v>3601</v>
      </c>
      <c r="O646" s="98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spans="1:27" x14ac:dyDescent="0.25">
      <c r="A647" s="88"/>
      <c r="B647" s="30"/>
      <c r="C647" s="30"/>
      <c r="D647" s="30"/>
      <c r="E647" s="30"/>
      <c r="F647" s="88"/>
      <c r="G647" s="88"/>
      <c r="H647" s="30"/>
      <c r="I647" s="96"/>
      <c r="J647" s="97"/>
      <c r="K647" s="93">
        <v>212</v>
      </c>
      <c r="L647" s="93" t="s">
        <v>3652</v>
      </c>
      <c r="M647" s="94" t="s">
        <v>3653</v>
      </c>
      <c r="N647" s="95" t="s">
        <v>3562</v>
      </c>
      <c r="O647" s="98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spans="1:27" x14ac:dyDescent="0.25">
      <c r="A648" s="88"/>
      <c r="B648" s="30"/>
      <c r="C648" s="30"/>
      <c r="D648" s="30"/>
      <c r="E648" s="30"/>
      <c r="F648" s="88"/>
      <c r="G648" s="88"/>
      <c r="H648" s="30"/>
      <c r="I648" s="96"/>
      <c r="J648" s="97"/>
      <c r="K648" s="93">
        <v>209</v>
      </c>
      <c r="L648" s="93" t="s">
        <v>3657</v>
      </c>
      <c r="M648" s="94" t="s">
        <v>3658</v>
      </c>
      <c r="N648" s="95" t="s">
        <v>3585</v>
      </c>
      <c r="O648" s="98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spans="1:27" x14ac:dyDescent="0.25">
      <c r="A649" s="88"/>
      <c r="B649" s="30"/>
      <c r="C649" s="30"/>
      <c r="D649" s="30"/>
      <c r="E649" s="30"/>
      <c r="F649" s="88"/>
      <c r="G649" s="88"/>
      <c r="H649" s="30"/>
      <c r="I649" s="96"/>
      <c r="J649" s="97"/>
      <c r="K649" s="93">
        <v>206</v>
      </c>
      <c r="L649" s="93" t="s">
        <v>3665</v>
      </c>
      <c r="M649" s="94" t="s">
        <v>3666</v>
      </c>
      <c r="N649" s="95" t="s">
        <v>3815</v>
      </c>
      <c r="O649" s="98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spans="1:27" x14ac:dyDescent="0.25">
      <c r="A650" s="88"/>
      <c r="B650" s="30"/>
      <c r="C650" s="30"/>
      <c r="D650" s="30"/>
      <c r="E650" s="30"/>
      <c r="F650" s="88"/>
      <c r="G650" s="88"/>
      <c r="H650" s="30"/>
      <c r="I650" s="96"/>
      <c r="J650" s="97"/>
      <c r="K650" s="93">
        <v>201</v>
      </c>
      <c r="L650" s="93" t="s">
        <v>3689</v>
      </c>
      <c r="M650" s="94" t="s">
        <v>3690</v>
      </c>
      <c r="N650" s="95" t="s">
        <v>3594</v>
      </c>
      <c r="O650" s="98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spans="1:27" x14ac:dyDescent="0.25">
      <c r="A651" s="88"/>
      <c r="B651" s="30"/>
      <c r="C651" s="30"/>
      <c r="D651" s="30"/>
      <c r="E651" s="30"/>
      <c r="F651" s="88"/>
      <c r="G651" s="88"/>
      <c r="H651" s="30"/>
      <c r="I651" s="96"/>
      <c r="J651" s="97"/>
      <c r="K651" s="93">
        <v>199</v>
      </c>
      <c r="L651" s="93" t="s">
        <v>3691</v>
      </c>
      <c r="M651" s="94" t="s">
        <v>3692</v>
      </c>
      <c r="N651" s="95" t="s">
        <v>3664</v>
      </c>
      <c r="O651" s="98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spans="1:27" x14ac:dyDescent="0.25">
      <c r="A652" s="88"/>
      <c r="B652" s="30"/>
      <c r="C652" s="30"/>
      <c r="D652" s="30"/>
      <c r="E652" s="30"/>
      <c r="F652" s="88"/>
      <c r="G652" s="88"/>
      <c r="H652" s="30"/>
      <c r="I652" s="96"/>
      <c r="J652" s="97"/>
      <c r="K652" s="93">
        <v>193</v>
      </c>
      <c r="L652" s="93" t="s">
        <v>3703</v>
      </c>
      <c r="M652" s="94" t="s">
        <v>3704</v>
      </c>
      <c r="N652" s="95" t="s">
        <v>3622</v>
      </c>
      <c r="O652" s="98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spans="1:27" x14ac:dyDescent="0.25">
      <c r="A653" s="88"/>
      <c r="B653" s="30"/>
      <c r="C653" s="30"/>
      <c r="D653" s="30"/>
      <c r="E653" s="30"/>
      <c r="F653" s="88"/>
      <c r="G653" s="88"/>
      <c r="H653" s="30"/>
      <c r="I653" s="96"/>
      <c r="J653" s="97"/>
      <c r="K653" s="93">
        <v>191</v>
      </c>
      <c r="L653" s="93" t="s">
        <v>3707</v>
      </c>
      <c r="M653" s="94" t="s">
        <v>3708</v>
      </c>
      <c r="N653" s="95" t="s">
        <v>3555</v>
      </c>
      <c r="O653" s="98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spans="1:27" x14ac:dyDescent="0.25">
      <c r="A654" s="88"/>
      <c r="B654" s="30"/>
      <c r="C654" s="30"/>
      <c r="D654" s="30"/>
      <c r="E654" s="30"/>
      <c r="F654" s="88"/>
      <c r="G654" s="88"/>
      <c r="H654" s="30"/>
      <c r="I654" s="96"/>
      <c r="J654" s="97"/>
      <c r="K654" s="93">
        <v>186</v>
      </c>
      <c r="L654" s="93" t="s">
        <v>3715</v>
      </c>
      <c r="M654" s="94" t="s">
        <v>3716</v>
      </c>
      <c r="N654" s="95" t="s">
        <v>3553</v>
      </c>
      <c r="O654" s="98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spans="1:27" x14ac:dyDescent="0.25">
      <c r="A655" s="88"/>
      <c r="B655" s="30"/>
      <c r="C655" s="30"/>
      <c r="D655" s="30"/>
      <c r="E655" s="30"/>
      <c r="F655" s="88"/>
      <c r="G655" s="88"/>
      <c r="H655" s="30"/>
      <c r="I655" s="96"/>
      <c r="J655" s="97"/>
      <c r="K655" s="93">
        <v>183.3</v>
      </c>
      <c r="L655" s="93" t="s">
        <v>4185</v>
      </c>
      <c r="M655" s="94" t="s">
        <v>4186</v>
      </c>
      <c r="N655" s="95" t="s">
        <v>3609</v>
      </c>
      <c r="O655" s="98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spans="1:27" x14ac:dyDescent="0.25">
      <c r="A656" s="88"/>
      <c r="B656" s="30"/>
      <c r="C656" s="30"/>
      <c r="D656" s="30"/>
      <c r="E656" s="30"/>
      <c r="F656" s="88"/>
      <c r="G656" s="88"/>
      <c r="H656" s="30"/>
      <c r="I656" s="96"/>
      <c r="J656" s="97"/>
      <c r="K656" s="93">
        <v>180.4</v>
      </c>
      <c r="L656" s="93" t="s">
        <v>3732</v>
      </c>
      <c r="M656" s="94" t="s">
        <v>3733</v>
      </c>
      <c r="N656" s="95" t="s">
        <v>3734</v>
      </c>
      <c r="O656" s="98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spans="1:27" x14ac:dyDescent="0.25">
      <c r="A657" s="88"/>
      <c r="B657" s="30"/>
      <c r="C657" s="30"/>
      <c r="D657" s="30"/>
      <c r="E657" s="30"/>
      <c r="F657" s="88"/>
      <c r="G657" s="88"/>
      <c r="H657" s="30"/>
      <c r="I657" s="96"/>
      <c r="J657" s="97"/>
      <c r="K657" s="93">
        <v>180.3</v>
      </c>
      <c r="L657" s="93" t="s">
        <v>3735</v>
      </c>
      <c r="M657" s="94" t="s">
        <v>3736</v>
      </c>
      <c r="N657" s="95" t="s">
        <v>3734</v>
      </c>
      <c r="O657" s="98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spans="1:27" x14ac:dyDescent="0.25">
      <c r="A658" s="88"/>
      <c r="B658" s="30"/>
      <c r="C658" s="30"/>
      <c r="D658" s="30"/>
      <c r="E658" s="30"/>
      <c r="F658" s="88"/>
      <c r="G658" s="88"/>
      <c r="H658" s="30"/>
      <c r="I658" s="96"/>
      <c r="J658" s="97"/>
      <c r="K658" s="93">
        <v>168</v>
      </c>
      <c r="L658" s="93" t="s">
        <v>3771</v>
      </c>
      <c r="M658" s="94" t="s">
        <v>3772</v>
      </c>
      <c r="N658" s="95" t="s">
        <v>3773</v>
      </c>
      <c r="O658" s="98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spans="1:27" x14ac:dyDescent="0.25">
      <c r="A659" s="88"/>
      <c r="B659" s="30"/>
      <c r="C659" s="30"/>
      <c r="D659" s="30"/>
      <c r="E659" s="30"/>
      <c r="F659" s="88"/>
      <c r="G659" s="88"/>
      <c r="H659" s="30"/>
      <c r="I659" s="96"/>
      <c r="J659" s="97"/>
      <c r="K659" s="93">
        <v>142</v>
      </c>
      <c r="L659" s="93" t="s">
        <v>3818</v>
      </c>
      <c r="M659" s="94" t="s">
        <v>3819</v>
      </c>
      <c r="N659" s="95" t="s">
        <v>3571</v>
      </c>
      <c r="O659" s="98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spans="1:27" x14ac:dyDescent="0.25">
      <c r="A660" s="88"/>
      <c r="B660" s="30"/>
      <c r="C660" s="30"/>
      <c r="D660" s="30"/>
      <c r="E660" s="30"/>
      <c r="F660" s="88"/>
      <c r="G660" s="88"/>
      <c r="H660" s="30"/>
      <c r="I660" s="96"/>
      <c r="J660" s="97"/>
      <c r="K660" s="93">
        <v>140.19999999999999</v>
      </c>
      <c r="L660" s="93" t="s">
        <v>3822</v>
      </c>
      <c r="M660" s="94" t="s">
        <v>3823</v>
      </c>
      <c r="N660" s="95" t="s">
        <v>3729</v>
      </c>
      <c r="O660" s="98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spans="1:27" x14ac:dyDescent="0.25">
      <c r="A661" s="88"/>
      <c r="B661" s="30"/>
      <c r="C661" s="30"/>
      <c r="D661" s="30"/>
      <c r="E661" s="30"/>
      <c r="F661" s="88"/>
      <c r="G661" s="88"/>
      <c r="H661" s="30"/>
      <c r="I661" s="96"/>
      <c r="J661" s="97"/>
      <c r="K661" s="93">
        <v>140.1</v>
      </c>
      <c r="L661" s="93" t="s">
        <v>3822</v>
      </c>
      <c r="M661" s="94" t="s">
        <v>3824</v>
      </c>
      <c r="N661" s="95" t="s">
        <v>3558</v>
      </c>
      <c r="O661" s="98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spans="1:27" x14ac:dyDescent="0.25">
      <c r="A662" s="88"/>
      <c r="B662" s="30"/>
      <c r="C662" s="30"/>
      <c r="D662" s="30"/>
      <c r="E662" s="30"/>
      <c r="F662" s="88"/>
      <c r="G662" s="88"/>
      <c r="H662" s="30"/>
      <c r="I662" s="96"/>
      <c r="J662" s="97"/>
      <c r="K662" s="93">
        <v>128.19999999999999</v>
      </c>
      <c r="L662" s="93" t="s">
        <v>3849</v>
      </c>
      <c r="M662" s="94" t="s">
        <v>3850</v>
      </c>
      <c r="N662" s="95" t="s">
        <v>3729</v>
      </c>
      <c r="O662" s="98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spans="1:27" x14ac:dyDescent="0.25">
      <c r="A663" s="88"/>
      <c r="B663" s="30"/>
      <c r="C663" s="30"/>
      <c r="D663" s="30"/>
      <c r="E663" s="30"/>
      <c r="F663" s="88"/>
      <c r="G663" s="88"/>
      <c r="H663" s="30"/>
      <c r="I663" s="96"/>
      <c r="J663" s="97"/>
      <c r="K663" s="93">
        <v>128.1</v>
      </c>
      <c r="L663" s="93" t="s">
        <v>3849</v>
      </c>
      <c r="M663" s="94" t="s">
        <v>4194</v>
      </c>
      <c r="N663" s="95" t="s">
        <v>3558</v>
      </c>
      <c r="O663" s="98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spans="1:27" x14ac:dyDescent="0.25">
      <c r="A664" s="88"/>
      <c r="B664" s="30"/>
      <c r="C664" s="30"/>
      <c r="D664" s="30"/>
      <c r="E664" s="30"/>
      <c r="F664" s="88"/>
      <c r="G664" s="88"/>
      <c r="H664" s="30"/>
      <c r="I664" s="96"/>
      <c r="J664" s="97"/>
      <c r="K664" s="93">
        <v>122</v>
      </c>
      <c r="L664" s="93" t="s">
        <v>3863</v>
      </c>
      <c r="M664" s="94" t="s">
        <v>3864</v>
      </c>
      <c r="N664" s="95" t="s">
        <v>3585</v>
      </c>
      <c r="O664" s="98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spans="1:27" x14ac:dyDescent="0.25">
      <c r="A665" s="88"/>
      <c r="B665" s="30"/>
      <c r="C665" s="30"/>
      <c r="D665" s="30"/>
      <c r="E665" s="30"/>
      <c r="F665" s="88"/>
      <c r="G665" s="88"/>
      <c r="H665" s="30"/>
      <c r="I665" s="96"/>
      <c r="J665" s="97"/>
      <c r="K665" s="93">
        <v>107</v>
      </c>
      <c r="L665" s="93" t="s">
        <v>3888</v>
      </c>
      <c r="M665" s="94" t="s">
        <v>3889</v>
      </c>
      <c r="N665" s="95" t="s">
        <v>3553</v>
      </c>
      <c r="O665" s="98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spans="1:27" x14ac:dyDescent="0.25">
      <c r="A666" s="88"/>
      <c r="B666" s="30"/>
      <c r="C666" s="30"/>
      <c r="D666" s="30"/>
      <c r="E666" s="30"/>
      <c r="F666" s="88"/>
      <c r="G666" s="88"/>
      <c r="H666" s="30"/>
      <c r="I666" s="96"/>
      <c r="J666" s="97"/>
      <c r="K666" s="93">
        <v>106</v>
      </c>
      <c r="L666" s="93" t="s">
        <v>3890</v>
      </c>
      <c r="M666" s="94" t="s">
        <v>3891</v>
      </c>
      <c r="N666" s="95" t="s">
        <v>3580</v>
      </c>
      <c r="O666" s="98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spans="1:27" x14ac:dyDescent="0.25">
      <c r="A667" s="88"/>
      <c r="B667" s="30"/>
      <c r="C667" s="30"/>
      <c r="D667" s="30"/>
      <c r="E667" s="30"/>
      <c r="F667" s="88"/>
      <c r="G667" s="88"/>
      <c r="H667" s="30"/>
      <c r="I667" s="96"/>
      <c r="J667" s="97"/>
      <c r="K667" s="93">
        <v>91</v>
      </c>
      <c r="L667" s="93" t="s">
        <v>3930</v>
      </c>
      <c r="M667" s="94" t="s">
        <v>3931</v>
      </c>
      <c r="N667" s="95" t="s">
        <v>3815</v>
      </c>
      <c r="O667" s="98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spans="1:27" x14ac:dyDescent="0.25">
      <c r="A668" s="88"/>
      <c r="B668" s="30"/>
      <c r="C668" s="30"/>
      <c r="D668" s="30"/>
      <c r="E668" s="30"/>
      <c r="F668" s="88"/>
      <c r="G668" s="88"/>
      <c r="H668" s="30"/>
      <c r="I668" s="96"/>
      <c r="J668" s="97"/>
      <c r="K668" s="93">
        <v>62</v>
      </c>
      <c r="L668" s="93" t="s">
        <v>3954</v>
      </c>
      <c r="M668" s="94" t="s">
        <v>3955</v>
      </c>
      <c r="N668" s="95" t="s">
        <v>3615</v>
      </c>
      <c r="O668" s="98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spans="1:27" x14ac:dyDescent="0.25">
      <c r="A669" s="88"/>
      <c r="B669" s="30"/>
      <c r="C669" s="30"/>
      <c r="D669" s="30"/>
      <c r="E669" s="30"/>
      <c r="F669" s="88"/>
      <c r="G669" s="88"/>
      <c r="H669" s="30"/>
      <c r="I669" s="96"/>
      <c r="J669" s="97"/>
      <c r="K669" s="93">
        <v>55</v>
      </c>
      <c r="L669" s="93" t="s">
        <v>3956</v>
      </c>
      <c r="M669" s="94" t="s">
        <v>3957</v>
      </c>
      <c r="N669" s="95" t="s">
        <v>3868</v>
      </c>
      <c r="O669" s="98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spans="1:27" x14ac:dyDescent="0.25">
      <c r="A670" s="88"/>
      <c r="B670" s="30"/>
      <c r="C670" s="30"/>
      <c r="D670" s="30"/>
      <c r="E670" s="30"/>
      <c r="F670" s="88"/>
      <c r="G670" s="88"/>
      <c r="H670" s="30"/>
      <c r="I670" s="96"/>
      <c r="J670" s="97"/>
      <c r="K670" s="93">
        <v>41</v>
      </c>
      <c r="L670" s="93" t="s">
        <v>3962</v>
      </c>
      <c r="M670" s="94" t="s">
        <v>3963</v>
      </c>
      <c r="N670" s="95" t="s">
        <v>3671</v>
      </c>
      <c r="O670" s="98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spans="1:27" x14ac:dyDescent="0.25">
      <c r="A671" s="88"/>
      <c r="B671" s="30"/>
      <c r="C671" s="30"/>
      <c r="D671" s="30"/>
      <c r="E671" s="30"/>
      <c r="F671" s="88"/>
      <c r="G671" s="88"/>
      <c r="H671" s="30"/>
      <c r="I671" s="96"/>
      <c r="J671" s="97"/>
      <c r="K671" s="93">
        <v>29</v>
      </c>
      <c r="L671" s="93" t="s">
        <v>3967</v>
      </c>
      <c r="M671" s="94" t="s">
        <v>3968</v>
      </c>
      <c r="N671" s="95" t="s">
        <v>4200</v>
      </c>
      <c r="O671" s="98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spans="1:27" x14ac:dyDescent="0.25">
      <c r="A672" s="88"/>
      <c r="B672" s="30"/>
      <c r="C672" s="30"/>
      <c r="D672" s="30"/>
      <c r="E672" s="30"/>
      <c r="F672" s="88"/>
      <c r="G672" s="88"/>
      <c r="H672" s="30"/>
      <c r="I672" s="96"/>
      <c r="J672" s="97"/>
      <c r="K672" s="93">
        <v>14</v>
      </c>
      <c r="L672" s="93" t="s">
        <v>3977</v>
      </c>
      <c r="M672" s="94" t="s">
        <v>3978</v>
      </c>
      <c r="N672" s="95" t="s">
        <v>3604</v>
      </c>
      <c r="O672" s="98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spans="1:27" x14ac:dyDescent="0.25">
      <c r="A673" s="88"/>
      <c r="B673" s="30"/>
      <c r="C673" s="30"/>
      <c r="D673" s="30"/>
      <c r="E673" s="30"/>
      <c r="F673" s="88"/>
      <c r="G673" s="88"/>
      <c r="H673" s="30"/>
      <c r="I673" s="96"/>
      <c r="J673" s="97"/>
      <c r="K673" s="93">
        <v>3</v>
      </c>
      <c r="L673" s="93" t="s">
        <v>3565</v>
      </c>
      <c r="M673" s="94" t="s">
        <v>4201</v>
      </c>
      <c r="N673" s="101"/>
      <c r="O673" s="98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spans="1:27" x14ac:dyDescent="0.25">
      <c r="A674" s="88"/>
      <c r="B674" s="30"/>
      <c r="C674" s="30"/>
      <c r="D674" s="30"/>
      <c r="E674" s="30"/>
      <c r="F674" s="88"/>
      <c r="G674" s="88"/>
      <c r="H674" s="30"/>
      <c r="I674" s="96"/>
      <c r="J674" s="97"/>
      <c r="K674" s="93"/>
      <c r="L674" s="99"/>
      <c r="M674" s="100"/>
      <c r="N674" s="101"/>
      <c r="O674" s="98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spans="1:27" x14ac:dyDescent="0.25">
      <c r="A675" s="88"/>
      <c r="B675" s="30"/>
      <c r="C675" s="30"/>
      <c r="D675" s="30"/>
      <c r="E675" s="30"/>
      <c r="F675" s="88"/>
      <c r="G675" s="88"/>
      <c r="H675" s="30"/>
      <c r="I675" s="96"/>
      <c r="J675" s="97"/>
      <c r="K675" s="93"/>
      <c r="L675" s="99"/>
      <c r="M675" s="100"/>
      <c r="N675" s="101"/>
      <c r="O675" s="98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spans="1:27" x14ac:dyDescent="0.25">
      <c r="A676" s="88"/>
      <c r="B676" s="30"/>
      <c r="C676" s="30"/>
      <c r="D676" s="30"/>
      <c r="E676" s="30"/>
      <c r="F676" s="88"/>
      <c r="G676" s="88"/>
      <c r="H676" s="30"/>
      <c r="I676" s="96"/>
      <c r="J676" s="97"/>
      <c r="K676" s="102"/>
      <c r="L676" s="103"/>
      <c r="M676" s="104"/>
      <c r="N676" s="105"/>
      <c r="O676" s="98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spans="1:27" x14ac:dyDescent="0.25">
      <c r="A677" s="88"/>
      <c r="B677" s="30"/>
      <c r="C677" s="30"/>
      <c r="D677" s="30"/>
      <c r="E677" s="30"/>
      <c r="F677" s="88"/>
      <c r="G677" s="88"/>
      <c r="H677" s="30"/>
      <c r="I677" s="96"/>
      <c r="J677" s="97"/>
      <c r="K677" s="102"/>
      <c r="L677" s="103"/>
      <c r="M677" s="104"/>
      <c r="N677" s="105"/>
      <c r="O677" s="98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spans="1:27" x14ac:dyDescent="0.25">
      <c r="A678" s="88"/>
      <c r="B678" s="30"/>
      <c r="C678" s="30"/>
      <c r="D678" s="30"/>
      <c r="E678" s="30"/>
      <c r="F678" s="88"/>
      <c r="G678" s="88"/>
      <c r="H678" s="30"/>
      <c r="I678" s="96"/>
      <c r="J678" s="97"/>
      <c r="K678" s="102"/>
      <c r="L678" s="103"/>
      <c r="M678" s="104"/>
      <c r="N678" s="105"/>
      <c r="O678" s="98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spans="1:27" x14ac:dyDescent="0.25">
      <c r="A679" s="88"/>
      <c r="B679" s="30"/>
      <c r="C679" s="30"/>
      <c r="D679" s="30"/>
      <c r="E679" s="30"/>
      <c r="F679" s="88"/>
      <c r="G679" s="88"/>
      <c r="H679" s="30"/>
      <c r="I679" s="96"/>
      <c r="J679" s="97"/>
      <c r="K679" s="102"/>
      <c r="L679" s="103"/>
      <c r="M679" s="104"/>
      <c r="N679" s="105"/>
      <c r="O679" s="98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spans="1:27" x14ac:dyDescent="0.25">
      <c r="A680" s="88"/>
      <c r="B680" s="30"/>
      <c r="C680" s="30"/>
      <c r="D680" s="30"/>
      <c r="E680" s="30"/>
      <c r="F680" s="88"/>
      <c r="G680" s="88"/>
      <c r="H680" s="30"/>
      <c r="I680" s="96"/>
      <c r="J680" s="97"/>
      <c r="K680" s="102"/>
      <c r="L680" s="103"/>
      <c r="M680" s="104"/>
      <c r="N680" s="105"/>
      <c r="O680" s="98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spans="1:27" x14ac:dyDescent="0.25">
      <c r="A681" s="88"/>
      <c r="B681" s="30"/>
      <c r="C681" s="30"/>
      <c r="D681" s="30"/>
      <c r="E681" s="30"/>
      <c r="F681" s="88"/>
      <c r="G681" s="88"/>
      <c r="H681" s="30"/>
      <c r="I681" s="96"/>
      <c r="J681" s="97"/>
      <c r="K681" s="102"/>
      <c r="L681" s="103"/>
      <c r="M681" s="104"/>
      <c r="N681" s="105"/>
      <c r="O681" s="98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spans="1:27" x14ac:dyDescent="0.25">
      <c r="A682" s="88"/>
      <c r="B682" s="30"/>
      <c r="C682" s="30"/>
      <c r="D682" s="30"/>
      <c r="E682" s="30"/>
      <c r="F682" s="88"/>
      <c r="G682" s="88"/>
      <c r="H682" s="30"/>
      <c r="I682" s="96"/>
      <c r="J682" s="97"/>
      <c r="K682" s="102"/>
      <c r="L682" s="103"/>
      <c r="M682" s="104"/>
      <c r="N682" s="105"/>
      <c r="O682" s="98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spans="1:27" x14ac:dyDescent="0.25">
      <c r="A683" s="88"/>
      <c r="B683" s="30"/>
      <c r="C683" s="30"/>
      <c r="D683" s="30"/>
      <c r="E683" s="30"/>
      <c r="F683" s="88"/>
      <c r="G683" s="88"/>
      <c r="H683" s="30"/>
      <c r="I683" s="96"/>
      <c r="J683" s="97"/>
      <c r="K683" s="102"/>
      <c r="L683" s="103"/>
      <c r="M683" s="104"/>
      <c r="N683" s="105"/>
      <c r="O683" s="98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spans="1:27" x14ac:dyDescent="0.25">
      <c r="A684" s="88"/>
      <c r="B684" s="30"/>
      <c r="C684" s="30"/>
      <c r="D684" s="30"/>
      <c r="E684" s="30"/>
      <c r="F684" s="88"/>
      <c r="G684" s="88"/>
      <c r="H684" s="30"/>
      <c r="I684" s="96"/>
      <c r="J684" s="97"/>
      <c r="K684" s="102"/>
      <c r="L684" s="103"/>
      <c r="M684" s="104"/>
      <c r="N684" s="105"/>
      <c r="O684" s="98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spans="1:27" x14ac:dyDescent="0.25">
      <c r="A685" s="88"/>
      <c r="B685" s="30"/>
      <c r="C685" s="30"/>
      <c r="D685" s="30"/>
      <c r="E685" s="30"/>
      <c r="F685" s="88"/>
      <c r="G685" s="88"/>
      <c r="H685" s="30"/>
      <c r="I685" s="96"/>
      <c r="J685" s="97"/>
      <c r="K685" s="102"/>
      <c r="L685" s="103"/>
      <c r="M685" s="104"/>
      <c r="N685" s="105"/>
      <c r="O685" s="98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spans="1:27" x14ac:dyDescent="0.25">
      <c r="A686" s="88"/>
      <c r="B686" s="30"/>
      <c r="C686" s="30"/>
      <c r="D686" s="30"/>
      <c r="E686" s="30"/>
      <c r="F686" s="88"/>
      <c r="G686" s="88"/>
      <c r="H686" s="30"/>
      <c r="I686" s="96"/>
      <c r="J686" s="97"/>
      <c r="K686" s="102"/>
      <c r="L686" s="103"/>
      <c r="M686" s="104"/>
      <c r="N686" s="105"/>
      <c r="O686" s="98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spans="1:27" x14ac:dyDescent="0.25">
      <c r="A687" s="88"/>
      <c r="B687" s="30"/>
      <c r="C687" s="30"/>
      <c r="D687" s="30"/>
      <c r="E687" s="30"/>
      <c r="F687" s="88"/>
      <c r="G687" s="88"/>
      <c r="H687" s="30"/>
      <c r="I687" s="96"/>
      <c r="J687" s="97"/>
      <c r="K687" s="102"/>
      <c r="L687" s="103"/>
      <c r="M687" s="104"/>
      <c r="N687" s="105"/>
      <c r="O687" s="98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spans="1:27" x14ac:dyDescent="0.25">
      <c r="A688" s="88"/>
      <c r="B688" s="30"/>
      <c r="C688" s="30"/>
      <c r="D688" s="30"/>
      <c r="E688" s="30"/>
      <c r="F688" s="88"/>
      <c r="G688" s="88"/>
      <c r="H688" s="30"/>
      <c r="I688" s="96"/>
      <c r="J688" s="97"/>
      <c r="K688" s="102"/>
      <c r="L688" s="103"/>
      <c r="M688" s="104"/>
      <c r="N688" s="105"/>
      <c r="O688" s="98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spans="1:27" x14ac:dyDescent="0.25">
      <c r="A689" s="88"/>
      <c r="B689" s="30"/>
      <c r="C689" s="30"/>
      <c r="D689" s="30"/>
      <c r="E689" s="30"/>
      <c r="F689" s="88"/>
      <c r="G689" s="88"/>
      <c r="H689" s="30"/>
      <c r="I689" s="96"/>
      <c r="J689" s="97"/>
      <c r="K689" s="102"/>
      <c r="L689" s="103"/>
      <c r="M689" s="104"/>
      <c r="N689" s="105"/>
      <c r="O689" s="98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spans="1:27" x14ac:dyDescent="0.25">
      <c r="A690" s="88"/>
      <c r="B690" s="30"/>
      <c r="C690" s="30"/>
      <c r="D690" s="30"/>
      <c r="E690" s="30"/>
      <c r="F690" s="88"/>
      <c r="G690" s="88"/>
      <c r="H690" s="30"/>
      <c r="I690" s="96"/>
      <c r="J690" s="97"/>
      <c r="K690" s="102"/>
      <c r="L690" s="103"/>
      <c r="M690" s="104"/>
      <c r="N690" s="105"/>
      <c r="O690" s="98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spans="1:27" x14ac:dyDescent="0.25">
      <c r="A691" s="88"/>
      <c r="B691" s="30"/>
      <c r="C691" s="30"/>
      <c r="D691" s="30"/>
      <c r="E691" s="30"/>
      <c r="F691" s="88"/>
      <c r="G691" s="88"/>
      <c r="H691" s="30"/>
      <c r="I691" s="96"/>
      <c r="J691" s="97"/>
      <c r="K691" s="102"/>
      <c r="L691" s="103"/>
      <c r="M691" s="104"/>
      <c r="N691" s="105"/>
      <c r="O691" s="98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spans="1:27" x14ac:dyDescent="0.25">
      <c r="A692" s="88"/>
      <c r="B692" s="30"/>
      <c r="C692" s="30"/>
      <c r="D692" s="30"/>
      <c r="E692" s="30"/>
      <c r="F692" s="88"/>
      <c r="G692" s="88"/>
      <c r="H692" s="30"/>
      <c r="I692" s="96"/>
      <c r="J692" s="97"/>
      <c r="K692" s="102"/>
      <c r="L692" s="103"/>
      <c r="M692" s="104"/>
      <c r="N692" s="105"/>
      <c r="O692" s="98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spans="1:27" x14ac:dyDescent="0.25">
      <c r="A693" s="88"/>
      <c r="B693" s="30"/>
      <c r="C693" s="30"/>
      <c r="D693" s="30"/>
      <c r="E693" s="30"/>
      <c r="F693" s="88"/>
      <c r="G693" s="88"/>
      <c r="H693" s="30"/>
      <c r="I693" s="96"/>
      <c r="J693" s="97"/>
      <c r="K693" s="102"/>
      <c r="L693" s="103"/>
      <c r="M693" s="104"/>
      <c r="N693" s="105"/>
      <c r="O693" s="98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spans="1:27" x14ac:dyDescent="0.25">
      <c r="A694" s="88"/>
      <c r="B694" s="30"/>
      <c r="C694" s="30"/>
      <c r="D694" s="30"/>
      <c r="E694" s="30"/>
      <c r="F694" s="88"/>
      <c r="G694" s="88"/>
      <c r="H694" s="30"/>
      <c r="I694" s="96"/>
      <c r="J694" s="97"/>
      <c r="K694" s="102"/>
      <c r="L694" s="103"/>
      <c r="M694" s="104"/>
      <c r="N694" s="105"/>
      <c r="O694" s="98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spans="1:27" x14ac:dyDescent="0.25">
      <c r="A695" s="88"/>
      <c r="B695" s="30"/>
      <c r="C695" s="30"/>
      <c r="D695" s="30"/>
      <c r="E695" s="30"/>
      <c r="F695" s="88"/>
      <c r="G695" s="88"/>
      <c r="H695" s="30"/>
      <c r="I695" s="96"/>
      <c r="J695" s="97"/>
      <c r="K695" s="102"/>
      <c r="L695" s="103"/>
      <c r="M695" s="104"/>
      <c r="N695" s="105"/>
      <c r="O695" s="98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spans="1:27" x14ac:dyDescent="0.25">
      <c r="A696" s="88"/>
      <c r="B696" s="30"/>
      <c r="C696" s="30"/>
      <c r="D696" s="30"/>
      <c r="E696" s="30"/>
      <c r="F696" s="88"/>
      <c r="G696" s="88"/>
      <c r="H696" s="30"/>
      <c r="I696" s="96"/>
      <c r="J696" s="97"/>
      <c r="K696" s="102"/>
      <c r="L696" s="103"/>
      <c r="M696" s="104"/>
      <c r="N696" s="105"/>
      <c r="O696" s="98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spans="1:27" x14ac:dyDescent="0.25">
      <c r="A697" s="88"/>
      <c r="B697" s="30"/>
      <c r="C697" s="30"/>
      <c r="D697" s="30"/>
      <c r="E697" s="30"/>
      <c r="F697" s="88"/>
      <c r="G697" s="88"/>
      <c r="H697" s="30"/>
      <c r="I697" s="96"/>
      <c r="J697" s="97"/>
      <c r="K697" s="102"/>
      <c r="L697" s="103"/>
      <c r="M697" s="104"/>
      <c r="N697" s="105"/>
      <c r="O697" s="98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spans="1:27" x14ac:dyDescent="0.25">
      <c r="A698" s="88"/>
      <c r="B698" s="30"/>
      <c r="C698" s="30"/>
      <c r="D698" s="30"/>
      <c r="E698" s="30"/>
      <c r="F698" s="88"/>
      <c r="G698" s="88"/>
      <c r="H698" s="30"/>
      <c r="I698" s="96"/>
      <c r="J698" s="97"/>
      <c r="K698" s="102"/>
      <c r="L698" s="103"/>
      <c r="M698" s="104"/>
      <c r="N698" s="105"/>
      <c r="O698" s="98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spans="1:27" x14ac:dyDescent="0.25">
      <c r="A699" s="88"/>
      <c r="B699" s="30"/>
      <c r="C699" s="30"/>
      <c r="D699" s="30"/>
      <c r="E699" s="30"/>
      <c r="F699" s="88"/>
      <c r="G699" s="88"/>
      <c r="H699" s="30"/>
      <c r="I699" s="96"/>
      <c r="J699" s="97"/>
      <c r="K699" s="102"/>
      <c r="L699" s="103"/>
      <c r="M699" s="104"/>
      <c r="N699" s="105"/>
      <c r="O699" s="98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spans="1:27" x14ac:dyDescent="0.25">
      <c r="A700" s="88"/>
      <c r="B700" s="30"/>
      <c r="C700" s="30"/>
      <c r="D700" s="30"/>
      <c r="E700" s="30"/>
      <c r="F700" s="88"/>
      <c r="G700" s="88"/>
      <c r="H700" s="30"/>
      <c r="I700" s="96"/>
      <c r="J700" s="97"/>
      <c r="K700" s="102"/>
      <c r="L700" s="103"/>
      <c r="M700" s="104"/>
      <c r="N700" s="105"/>
      <c r="O700" s="98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spans="1:27" x14ac:dyDescent="0.25">
      <c r="A701" s="88"/>
      <c r="B701" s="30"/>
      <c r="C701" s="30"/>
      <c r="D701" s="30"/>
      <c r="E701" s="30"/>
      <c r="F701" s="88"/>
      <c r="G701" s="88"/>
      <c r="H701" s="30"/>
      <c r="I701" s="96"/>
      <c r="J701" s="97"/>
      <c r="K701" s="102"/>
      <c r="L701" s="103"/>
      <c r="M701" s="104"/>
      <c r="N701" s="105"/>
      <c r="O701" s="98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spans="1:27" x14ac:dyDescent="0.25">
      <c r="A702" s="88"/>
      <c r="B702" s="30"/>
      <c r="C702" s="30"/>
      <c r="D702" s="30"/>
      <c r="E702" s="30"/>
      <c r="F702" s="88"/>
      <c r="G702" s="88"/>
      <c r="H702" s="30"/>
      <c r="I702" s="96"/>
      <c r="J702" s="97"/>
      <c r="K702" s="102"/>
      <c r="L702" s="103"/>
      <c r="M702" s="104"/>
      <c r="N702" s="105"/>
      <c r="O702" s="98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spans="1:27" x14ac:dyDescent="0.25">
      <c r="A703" s="88"/>
      <c r="B703" s="30"/>
      <c r="C703" s="30"/>
      <c r="D703" s="30"/>
      <c r="E703" s="30"/>
      <c r="F703" s="88"/>
      <c r="G703" s="88"/>
      <c r="H703" s="30"/>
      <c r="I703" s="96"/>
      <c r="J703" s="97"/>
      <c r="K703" s="102"/>
      <c r="L703" s="103"/>
      <c r="M703" s="104"/>
      <c r="N703" s="105"/>
      <c r="O703" s="98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spans="1:27" x14ac:dyDescent="0.25">
      <c r="A704" s="88"/>
      <c r="B704" s="30"/>
      <c r="C704" s="30"/>
      <c r="D704" s="30"/>
      <c r="E704" s="30"/>
      <c r="F704" s="88"/>
      <c r="G704" s="88"/>
      <c r="H704" s="30"/>
      <c r="I704" s="96"/>
      <c r="J704" s="97"/>
      <c r="K704" s="102"/>
      <c r="L704" s="103"/>
      <c r="M704" s="104"/>
      <c r="N704" s="105"/>
      <c r="O704" s="98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spans="1:27" x14ac:dyDescent="0.25">
      <c r="A705" s="88"/>
      <c r="B705" s="30"/>
      <c r="C705" s="30"/>
      <c r="D705" s="30"/>
      <c r="E705" s="30"/>
      <c r="F705" s="88"/>
      <c r="G705" s="88"/>
      <c r="H705" s="30"/>
      <c r="I705" s="96"/>
      <c r="J705" s="97"/>
      <c r="K705" s="102"/>
      <c r="L705" s="103"/>
      <c r="M705" s="104"/>
      <c r="N705" s="105"/>
      <c r="O705" s="98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spans="1:27" x14ac:dyDescent="0.25">
      <c r="A706" s="88"/>
      <c r="B706" s="30"/>
      <c r="C706" s="30"/>
      <c r="D706" s="30"/>
      <c r="E706" s="30"/>
      <c r="F706" s="88"/>
      <c r="G706" s="88"/>
      <c r="H706" s="30"/>
      <c r="I706" s="96"/>
      <c r="J706" s="97"/>
      <c r="K706" s="102"/>
      <c r="L706" s="103"/>
      <c r="M706" s="104"/>
      <c r="N706" s="105"/>
      <c r="O706" s="98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spans="1:27" x14ac:dyDescent="0.25">
      <c r="A707" s="88"/>
      <c r="B707" s="30"/>
      <c r="C707" s="30"/>
      <c r="D707" s="30"/>
      <c r="E707" s="30"/>
      <c r="F707" s="88"/>
      <c r="G707" s="88"/>
      <c r="H707" s="30"/>
      <c r="I707" s="96"/>
      <c r="J707" s="97"/>
      <c r="K707" s="102"/>
      <c r="L707" s="103"/>
      <c r="M707" s="104"/>
      <c r="N707" s="105"/>
      <c r="O707" s="98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spans="1:27" x14ac:dyDescent="0.25">
      <c r="A708" s="88"/>
      <c r="B708" s="30"/>
      <c r="C708" s="30"/>
      <c r="D708" s="30"/>
      <c r="E708" s="30"/>
      <c r="F708" s="88"/>
      <c r="G708" s="88"/>
      <c r="H708" s="30"/>
      <c r="I708" s="96"/>
      <c r="J708" s="97"/>
      <c r="K708" s="102"/>
      <c r="L708" s="103"/>
      <c r="M708" s="104"/>
      <c r="N708" s="105"/>
      <c r="O708" s="98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spans="1:27" x14ac:dyDescent="0.25">
      <c r="A709" s="88"/>
      <c r="B709" s="30"/>
      <c r="C709" s="30"/>
      <c r="D709" s="30"/>
      <c r="E709" s="30"/>
      <c r="F709" s="88"/>
      <c r="G709" s="88"/>
      <c r="H709" s="30"/>
      <c r="I709" s="96"/>
      <c r="J709" s="97"/>
      <c r="K709" s="102"/>
      <c r="L709" s="103"/>
      <c r="M709" s="104"/>
      <c r="N709" s="105"/>
      <c r="O709" s="98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spans="1:27" x14ac:dyDescent="0.25">
      <c r="A710" s="88"/>
      <c r="B710" s="30"/>
      <c r="C710" s="30"/>
      <c r="D710" s="30"/>
      <c r="E710" s="30"/>
      <c r="F710" s="88"/>
      <c r="G710" s="88"/>
      <c r="H710" s="30"/>
      <c r="I710" s="96"/>
      <c r="J710" s="97"/>
      <c r="K710" s="102"/>
      <c r="L710" s="103"/>
      <c r="M710" s="104"/>
      <c r="N710" s="105"/>
      <c r="O710" s="98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spans="1:27" x14ac:dyDescent="0.25">
      <c r="A711" s="88"/>
      <c r="B711" s="30"/>
      <c r="C711" s="30"/>
      <c r="D711" s="30"/>
      <c r="E711" s="30"/>
      <c r="F711" s="88"/>
      <c r="G711" s="88"/>
      <c r="H711" s="30"/>
      <c r="I711" s="96"/>
      <c r="J711" s="97"/>
      <c r="K711" s="102"/>
      <c r="L711" s="103"/>
      <c r="M711" s="104"/>
      <c r="N711" s="105"/>
      <c r="O711" s="98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spans="1:27" x14ac:dyDescent="0.25">
      <c r="A712" s="88"/>
      <c r="B712" s="30"/>
      <c r="C712" s="30"/>
      <c r="D712" s="30"/>
      <c r="E712" s="30"/>
      <c r="F712" s="88"/>
      <c r="G712" s="88"/>
      <c r="H712" s="30"/>
      <c r="I712" s="96"/>
      <c r="J712" s="97"/>
      <c r="K712" s="102"/>
      <c r="L712" s="103"/>
      <c r="M712" s="104"/>
      <c r="N712" s="105"/>
      <c r="O712" s="98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spans="1:27" x14ac:dyDescent="0.25">
      <c r="A713" s="88"/>
      <c r="B713" s="30"/>
      <c r="C713" s="30"/>
      <c r="D713" s="30"/>
      <c r="E713" s="30"/>
      <c r="F713" s="88"/>
      <c r="G713" s="88"/>
      <c r="H713" s="30"/>
      <c r="I713" s="96"/>
      <c r="J713" s="97"/>
      <c r="K713" s="102"/>
      <c r="L713" s="103"/>
      <c r="M713" s="104"/>
      <c r="N713" s="105"/>
      <c r="O713" s="98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spans="1:27" x14ac:dyDescent="0.25">
      <c r="A714" s="88"/>
      <c r="B714" s="30"/>
      <c r="C714" s="30"/>
      <c r="D714" s="30"/>
      <c r="E714" s="30"/>
      <c r="F714" s="88"/>
      <c r="G714" s="88"/>
      <c r="H714" s="30"/>
      <c r="I714" s="96"/>
      <c r="J714" s="97"/>
      <c r="K714" s="102"/>
      <c r="L714" s="103"/>
      <c r="M714" s="104"/>
      <c r="N714" s="105"/>
      <c r="O714" s="98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spans="1:27" x14ac:dyDescent="0.25">
      <c r="A715" s="88"/>
      <c r="B715" s="30"/>
      <c r="C715" s="30"/>
      <c r="D715" s="30"/>
      <c r="E715" s="30"/>
      <c r="F715" s="88"/>
      <c r="G715" s="88"/>
      <c r="H715" s="30"/>
      <c r="I715" s="96"/>
      <c r="J715" s="97"/>
      <c r="K715" s="102"/>
      <c r="L715" s="103"/>
      <c r="M715" s="104"/>
      <c r="N715" s="105"/>
      <c r="O715" s="98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spans="1:27" x14ac:dyDescent="0.25">
      <c r="A716" s="88"/>
      <c r="B716" s="30"/>
      <c r="C716" s="30"/>
      <c r="D716" s="30"/>
      <c r="E716" s="30"/>
      <c r="F716" s="88"/>
      <c r="G716" s="88"/>
      <c r="H716" s="30"/>
      <c r="I716" s="96"/>
      <c r="J716" s="97"/>
      <c r="K716" s="102"/>
      <c r="L716" s="103"/>
      <c r="M716" s="104"/>
      <c r="N716" s="105"/>
      <c r="O716" s="98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spans="1:27" x14ac:dyDescent="0.25">
      <c r="A717" s="88"/>
      <c r="B717" s="30"/>
      <c r="C717" s="30"/>
      <c r="D717" s="30"/>
      <c r="E717" s="30"/>
      <c r="F717" s="88"/>
      <c r="G717" s="88"/>
      <c r="H717" s="30"/>
      <c r="I717" s="96"/>
      <c r="J717" s="97"/>
      <c r="K717" s="102"/>
      <c r="L717" s="103"/>
      <c r="M717" s="104"/>
      <c r="N717" s="105"/>
      <c r="O717" s="98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spans="1:27" x14ac:dyDescent="0.25">
      <c r="A718" s="88"/>
      <c r="B718" s="30"/>
      <c r="C718" s="30"/>
      <c r="D718" s="30"/>
      <c r="E718" s="30"/>
      <c r="F718" s="88"/>
      <c r="G718" s="88"/>
      <c r="H718" s="30"/>
      <c r="I718" s="96"/>
      <c r="J718" s="97"/>
      <c r="K718" s="102"/>
      <c r="L718" s="103"/>
      <c r="M718" s="104"/>
      <c r="N718" s="105"/>
      <c r="O718" s="98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spans="1:27" x14ac:dyDescent="0.25">
      <c r="A719" s="88"/>
      <c r="B719" s="30"/>
      <c r="C719" s="30"/>
      <c r="D719" s="30"/>
      <c r="E719" s="30"/>
      <c r="F719" s="88"/>
      <c r="G719" s="88"/>
      <c r="H719" s="30"/>
      <c r="I719" s="96"/>
      <c r="J719" s="97"/>
      <c r="K719" s="102"/>
      <c r="L719" s="103"/>
      <c r="M719" s="104"/>
      <c r="N719" s="105"/>
      <c r="O719" s="98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spans="1:27" x14ac:dyDescent="0.25">
      <c r="A720" s="88"/>
      <c r="B720" s="30"/>
      <c r="C720" s="30"/>
      <c r="D720" s="30"/>
      <c r="E720" s="30"/>
      <c r="F720" s="88"/>
      <c r="G720" s="88"/>
      <c r="H720" s="30"/>
      <c r="I720" s="96"/>
      <c r="J720" s="97"/>
      <c r="K720" s="102"/>
      <c r="L720" s="103"/>
      <c r="M720" s="104"/>
      <c r="N720" s="105"/>
      <c r="O720" s="98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spans="1:27" x14ac:dyDescent="0.25">
      <c r="A721" s="88"/>
      <c r="B721" s="30"/>
      <c r="C721" s="30"/>
      <c r="D721" s="30"/>
      <c r="E721" s="30"/>
      <c r="F721" s="88"/>
      <c r="G721" s="88"/>
      <c r="H721" s="30"/>
      <c r="I721" s="96"/>
      <c r="J721" s="97"/>
      <c r="K721" s="102"/>
      <c r="L721" s="103"/>
      <c r="M721" s="104"/>
      <c r="N721" s="105"/>
      <c r="O721" s="98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spans="1:27" x14ac:dyDescent="0.25">
      <c r="A722" s="88"/>
      <c r="B722" s="30"/>
      <c r="C722" s="30"/>
      <c r="D722" s="30"/>
      <c r="E722" s="30"/>
      <c r="F722" s="88"/>
      <c r="G722" s="88"/>
      <c r="H722" s="30"/>
      <c r="I722" s="96"/>
      <c r="J722" s="97"/>
      <c r="K722" s="102"/>
      <c r="L722" s="103"/>
      <c r="M722" s="104"/>
      <c r="N722" s="105"/>
      <c r="O722" s="98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spans="1:27" x14ac:dyDescent="0.25">
      <c r="A723" s="88"/>
      <c r="B723" s="30"/>
      <c r="C723" s="30"/>
      <c r="D723" s="30"/>
      <c r="E723" s="30"/>
      <c r="F723" s="88"/>
      <c r="G723" s="88"/>
      <c r="H723" s="30"/>
      <c r="I723" s="96"/>
      <c r="J723" s="97"/>
      <c r="K723" s="102"/>
      <c r="L723" s="103"/>
      <c r="M723" s="104"/>
      <c r="N723" s="105"/>
      <c r="O723" s="98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spans="1:27" x14ac:dyDescent="0.25">
      <c r="A724" s="88"/>
      <c r="B724" s="30"/>
      <c r="C724" s="30"/>
      <c r="D724" s="30"/>
      <c r="E724" s="30"/>
      <c r="F724" s="88"/>
      <c r="G724" s="88"/>
      <c r="H724" s="30"/>
      <c r="I724" s="96"/>
      <c r="J724" s="97"/>
      <c r="K724" s="102"/>
      <c r="L724" s="103"/>
      <c r="M724" s="104"/>
      <c r="N724" s="105"/>
      <c r="O724" s="98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spans="1:27" x14ac:dyDescent="0.25">
      <c r="A725" s="88"/>
      <c r="B725" s="30"/>
      <c r="C725" s="30"/>
      <c r="D725" s="30"/>
      <c r="E725" s="30"/>
      <c r="F725" s="88"/>
      <c r="G725" s="88"/>
      <c r="H725" s="30"/>
      <c r="I725" s="96"/>
      <c r="J725" s="97"/>
      <c r="K725" s="102"/>
      <c r="L725" s="103"/>
      <c r="M725" s="104"/>
      <c r="N725" s="105"/>
      <c r="O725" s="98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spans="1:27" x14ac:dyDescent="0.25">
      <c r="A726" s="88"/>
      <c r="B726" s="30"/>
      <c r="C726" s="30"/>
      <c r="D726" s="30"/>
      <c r="E726" s="30"/>
      <c r="F726" s="88"/>
      <c r="G726" s="88"/>
      <c r="H726" s="30"/>
      <c r="I726" s="96"/>
      <c r="J726" s="97"/>
      <c r="K726" s="102"/>
      <c r="L726" s="103"/>
      <c r="M726" s="104"/>
      <c r="N726" s="105"/>
      <c r="O726" s="98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spans="1:27" x14ac:dyDescent="0.25">
      <c r="A727" s="88"/>
      <c r="B727" s="30"/>
      <c r="C727" s="30"/>
      <c r="D727" s="30"/>
      <c r="E727" s="30"/>
      <c r="F727" s="88"/>
      <c r="G727" s="88"/>
      <c r="H727" s="30"/>
      <c r="I727" s="96"/>
      <c r="J727" s="97"/>
      <c r="K727" s="102"/>
      <c r="L727" s="103"/>
      <c r="M727" s="104"/>
      <c r="N727" s="105"/>
      <c r="O727" s="98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spans="1:27" x14ac:dyDescent="0.25">
      <c r="A728" s="88"/>
      <c r="B728" s="30"/>
      <c r="C728" s="30"/>
      <c r="D728" s="30"/>
      <c r="E728" s="30"/>
      <c r="F728" s="88"/>
      <c r="G728" s="88"/>
      <c r="H728" s="30"/>
      <c r="I728" s="96"/>
      <c r="J728" s="97"/>
      <c r="K728" s="102"/>
      <c r="L728" s="103"/>
      <c r="M728" s="104"/>
      <c r="N728" s="105"/>
      <c r="O728" s="98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spans="1:27" x14ac:dyDescent="0.25">
      <c r="A729" s="88"/>
      <c r="B729" s="30"/>
      <c r="C729" s="30"/>
      <c r="D729" s="30"/>
      <c r="E729" s="30"/>
      <c r="F729" s="88"/>
      <c r="G729" s="88"/>
      <c r="H729" s="30"/>
      <c r="I729" s="96"/>
      <c r="J729" s="97"/>
      <c r="K729" s="102"/>
      <c r="L729" s="103"/>
      <c r="M729" s="104"/>
      <c r="N729" s="105"/>
      <c r="O729" s="98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spans="1:27" x14ac:dyDescent="0.25">
      <c r="A730" s="88"/>
      <c r="B730" s="30"/>
      <c r="C730" s="30"/>
      <c r="D730" s="30"/>
      <c r="E730" s="30"/>
      <c r="F730" s="88"/>
      <c r="G730" s="88"/>
      <c r="H730" s="30"/>
      <c r="I730" s="96"/>
      <c r="J730" s="97"/>
      <c r="K730" s="102"/>
      <c r="L730" s="103"/>
      <c r="M730" s="104"/>
      <c r="N730" s="105"/>
      <c r="O730" s="98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spans="1:27" x14ac:dyDescent="0.25">
      <c r="A731" s="88"/>
      <c r="B731" s="30"/>
      <c r="C731" s="30"/>
      <c r="D731" s="30"/>
      <c r="E731" s="30"/>
      <c r="F731" s="88"/>
      <c r="G731" s="88"/>
      <c r="H731" s="30"/>
      <c r="I731" s="96"/>
      <c r="J731" s="97"/>
      <c r="K731" s="102"/>
      <c r="L731" s="103"/>
      <c r="M731" s="104"/>
      <c r="N731" s="105"/>
      <c r="O731" s="98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spans="1:27" x14ac:dyDescent="0.25">
      <c r="A732" s="88"/>
      <c r="B732" s="30"/>
      <c r="C732" s="30"/>
      <c r="D732" s="30"/>
      <c r="E732" s="30"/>
      <c r="F732" s="88"/>
      <c r="G732" s="88"/>
      <c r="H732" s="30"/>
      <c r="I732" s="96"/>
      <c r="J732" s="97"/>
      <c r="K732" s="102"/>
      <c r="L732" s="103"/>
      <c r="M732" s="104"/>
      <c r="N732" s="105"/>
      <c r="O732" s="98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spans="1:27" x14ac:dyDescent="0.25">
      <c r="A733" s="88"/>
      <c r="B733" s="30"/>
      <c r="C733" s="30"/>
      <c r="D733" s="30"/>
      <c r="E733" s="30"/>
      <c r="F733" s="88"/>
      <c r="G733" s="88"/>
      <c r="H733" s="30"/>
      <c r="I733" s="96"/>
      <c r="J733" s="97"/>
      <c r="K733" s="102"/>
      <c r="L733" s="103"/>
      <c r="M733" s="104"/>
      <c r="N733" s="105"/>
      <c r="O733" s="98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spans="1:27" x14ac:dyDescent="0.25">
      <c r="A734" s="88"/>
      <c r="B734" s="30"/>
      <c r="C734" s="30"/>
      <c r="D734" s="30"/>
      <c r="E734" s="30"/>
      <c r="F734" s="88"/>
      <c r="G734" s="88"/>
      <c r="H734" s="30"/>
      <c r="I734" s="96"/>
      <c r="J734" s="97"/>
      <c r="K734" s="102"/>
      <c r="L734" s="103"/>
      <c r="M734" s="104"/>
      <c r="N734" s="105"/>
      <c r="O734" s="98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spans="1:27" x14ac:dyDescent="0.25">
      <c r="A735" s="88"/>
      <c r="B735" s="30"/>
      <c r="C735" s="30"/>
      <c r="D735" s="30"/>
      <c r="E735" s="30"/>
      <c r="F735" s="88"/>
      <c r="G735" s="88"/>
      <c r="H735" s="30"/>
      <c r="I735" s="96"/>
      <c r="J735" s="97"/>
      <c r="K735" s="102"/>
      <c r="L735" s="103"/>
      <c r="M735" s="104"/>
      <c r="N735" s="105"/>
      <c r="O735" s="98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spans="1:27" x14ac:dyDescent="0.25">
      <c r="A736" s="88"/>
      <c r="B736" s="30"/>
      <c r="C736" s="30"/>
      <c r="D736" s="30"/>
      <c r="E736" s="30"/>
      <c r="F736" s="88"/>
      <c r="G736" s="88"/>
      <c r="H736" s="30"/>
      <c r="I736" s="96"/>
      <c r="J736" s="97"/>
      <c r="K736" s="102"/>
      <c r="L736" s="103"/>
      <c r="M736" s="104"/>
      <c r="N736" s="105"/>
      <c r="O736" s="98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spans="1:27" x14ac:dyDescent="0.25">
      <c r="A737" s="88"/>
      <c r="B737" s="30"/>
      <c r="C737" s="30"/>
      <c r="D737" s="30"/>
      <c r="E737" s="30"/>
      <c r="F737" s="88"/>
      <c r="G737" s="88"/>
      <c r="H737" s="30"/>
      <c r="I737" s="96"/>
      <c r="J737" s="97"/>
      <c r="K737" s="102"/>
      <c r="L737" s="103"/>
      <c r="M737" s="104"/>
      <c r="N737" s="105"/>
      <c r="O737" s="98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spans="1:27" x14ac:dyDescent="0.25">
      <c r="A738" s="88"/>
      <c r="B738" s="30"/>
      <c r="C738" s="30"/>
      <c r="D738" s="30"/>
      <c r="E738" s="30"/>
      <c r="F738" s="88"/>
      <c r="G738" s="88"/>
      <c r="H738" s="30"/>
      <c r="I738" s="96"/>
      <c r="J738" s="97"/>
      <c r="K738" s="102"/>
      <c r="L738" s="103"/>
      <c r="M738" s="104"/>
      <c r="N738" s="105"/>
      <c r="O738" s="98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spans="1:27" x14ac:dyDescent="0.25">
      <c r="A739" s="88"/>
      <c r="B739" s="30"/>
      <c r="C739" s="30"/>
      <c r="D739" s="30"/>
      <c r="E739" s="30"/>
      <c r="F739" s="88"/>
      <c r="G739" s="88"/>
      <c r="H739" s="30"/>
      <c r="I739" s="96"/>
      <c r="J739" s="97"/>
      <c r="K739" s="102"/>
      <c r="L739" s="103"/>
      <c r="M739" s="104"/>
      <c r="N739" s="105"/>
      <c r="O739" s="98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spans="1:27" x14ac:dyDescent="0.25">
      <c r="A740" s="88"/>
      <c r="B740" s="30"/>
      <c r="C740" s="30"/>
      <c r="D740" s="30"/>
      <c r="E740" s="30"/>
      <c r="F740" s="88"/>
      <c r="G740" s="88"/>
      <c r="H740" s="30"/>
      <c r="I740" s="96"/>
      <c r="J740" s="97"/>
      <c r="K740" s="102"/>
      <c r="L740" s="103"/>
      <c r="M740" s="104"/>
      <c r="N740" s="105"/>
      <c r="O740" s="98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spans="1:27" x14ac:dyDescent="0.25">
      <c r="A741" s="88"/>
      <c r="B741" s="30"/>
      <c r="C741" s="30"/>
      <c r="D741" s="30"/>
      <c r="E741" s="30"/>
      <c r="F741" s="88"/>
      <c r="G741" s="88"/>
      <c r="H741" s="30"/>
      <c r="I741" s="96"/>
      <c r="J741" s="97"/>
      <c r="K741" s="102"/>
      <c r="L741" s="103"/>
      <c r="M741" s="104"/>
      <c r="N741" s="105"/>
      <c r="O741" s="98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spans="1:27" x14ac:dyDescent="0.25">
      <c r="A742" s="88"/>
      <c r="B742" s="30"/>
      <c r="C742" s="30"/>
      <c r="D742" s="30"/>
      <c r="E742" s="30"/>
      <c r="F742" s="88"/>
      <c r="G742" s="88"/>
      <c r="H742" s="30"/>
      <c r="I742" s="96"/>
      <c r="J742" s="97"/>
      <c r="K742" s="102"/>
      <c r="L742" s="103"/>
      <c r="M742" s="104"/>
      <c r="N742" s="105"/>
      <c r="O742" s="98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spans="1:27" x14ac:dyDescent="0.25">
      <c r="A743" s="88"/>
      <c r="B743" s="30"/>
      <c r="C743" s="30"/>
      <c r="D743" s="30"/>
      <c r="E743" s="30"/>
      <c r="F743" s="88"/>
      <c r="G743" s="88"/>
      <c r="H743" s="30"/>
      <c r="I743" s="96"/>
      <c r="J743" s="97"/>
      <c r="K743" s="102"/>
      <c r="L743" s="103"/>
      <c r="M743" s="104"/>
      <c r="N743" s="105"/>
      <c r="O743" s="98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spans="1:27" x14ac:dyDescent="0.25">
      <c r="A744" s="88"/>
      <c r="B744" s="30"/>
      <c r="C744" s="30"/>
      <c r="D744" s="30"/>
      <c r="E744" s="30"/>
      <c r="F744" s="88"/>
      <c r="G744" s="88"/>
      <c r="H744" s="30"/>
      <c r="I744" s="96"/>
      <c r="J744" s="97"/>
      <c r="K744" s="102"/>
      <c r="L744" s="103"/>
      <c r="M744" s="104"/>
      <c r="N744" s="105"/>
      <c r="O744" s="98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spans="1:27" x14ac:dyDescent="0.25">
      <c r="A745" s="88"/>
      <c r="B745" s="30"/>
      <c r="C745" s="30"/>
      <c r="D745" s="30"/>
      <c r="E745" s="30"/>
      <c r="F745" s="88"/>
      <c r="G745" s="88"/>
      <c r="H745" s="30"/>
      <c r="I745" s="96"/>
      <c r="J745" s="97"/>
      <c r="K745" s="102"/>
      <c r="L745" s="103"/>
      <c r="M745" s="104"/>
      <c r="N745" s="105"/>
      <c r="O745" s="98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spans="1:27" x14ac:dyDescent="0.25">
      <c r="A746" s="88"/>
      <c r="B746" s="30"/>
      <c r="C746" s="30"/>
      <c r="D746" s="30"/>
      <c r="E746" s="30"/>
      <c r="F746" s="88"/>
      <c r="G746" s="88"/>
      <c r="H746" s="30"/>
      <c r="I746" s="96"/>
      <c r="J746" s="97"/>
      <c r="K746" s="102"/>
      <c r="L746" s="103"/>
      <c r="M746" s="104"/>
      <c r="N746" s="105"/>
      <c r="O746" s="98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spans="1:27" x14ac:dyDescent="0.25">
      <c r="A747" s="88"/>
      <c r="B747" s="30"/>
      <c r="C747" s="30"/>
      <c r="D747" s="30"/>
      <c r="E747" s="30"/>
      <c r="F747" s="88"/>
      <c r="G747" s="88"/>
      <c r="H747" s="30"/>
      <c r="I747" s="96"/>
      <c r="J747" s="97"/>
      <c r="K747" s="102"/>
      <c r="L747" s="103"/>
      <c r="M747" s="104"/>
      <c r="N747" s="105"/>
      <c r="O747" s="98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spans="1:27" x14ac:dyDescent="0.25">
      <c r="A748" s="88"/>
      <c r="B748" s="30"/>
      <c r="C748" s="30"/>
      <c r="D748" s="30"/>
      <c r="E748" s="30"/>
      <c r="F748" s="88"/>
      <c r="G748" s="88"/>
      <c r="H748" s="30"/>
      <c r="I748" s="96"/>
      <c r="J748" s="97"/>
      <c r="K748" s="102"/>
      <c r="L748" s="103"/>
      <c r="M748" s="104"/>
      <c r="N748" s="105"/>
      <c r="O748" s="98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spans="1:27" x14ac:dyDescent="0.25">
      <c r="A749" s="88"/>
      <c r="B749" s="30"/>
      <c r="C749" s="30"/>
      <c r="D749" s="30"/>
      <c r="E749" s="30"/>
      <c r="F749" s="88"/>
      <c r="G749" s="88"/>
      <c r="H749" s="30"/>
      <c r="I749" s="96"/>
      <c r="J749" s="97"/>
      <c r="K749" s="102"/>
      <c r="L749" s="103"/>
      <c r="M749" s="104"/>
      <c r="N749" s="105"/>
      <c r="O749" s="98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spans="1:27" x14ac:dyDescent="0.25">
      <c r="A750" s="88"/>
      <c r="B750" s="30"/>
      <c r="C750" s="30"/>
      <c r="D750" s="30"/>
      <c r="E750" s="30"/>
      <c r="F750" s="88"/>
      <c r="G750" s="88"/>
      <c r="H750" s="30"/>
      <c r="I750" s="96"/>
      <c r="J750" s="97"/>
      <c r="K750" s="102"/>
      <c r="L750" s="103"/>
      <c r="M750" s="104"/>
      <c r="N750" s="105"/>
      <c r="O750" s="98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spans="1:27" x14ac:dyDescent="0.25">
      <c r="A751" s="88"/>
      <c r="B751" s="30"/>
      <c r="C751" s="30"/>
      <c r="D751" s="30"/>
      <c r="E751" s="30"/>
      <c r="F751" s="88"/>
      <c r="G751" s="88"/>
      <c r="H751" s="30"/>
      <c r="I751" s="96"/>
      <c r="J751" s="97"/>
      <c r="K751" s="102"/>
      <c r="L751" s="103"/>
      <c r="M751" s="104"/>
      <c r="N751" s="105"/>
      <c r="O751" s="98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spans="1:27" x14ac:dyDescent="0.25">
      <c r="A752" s="88"/>
      <c r="B752" s="30"/>
      <c r="C752" s="30"/>
      <c r="D752" s="30"/>
      <c r="E752" s="30"/>
      <c r="F752" s="88"/>
      <c r="G752" s="88"/>
      <c r="H752" s="30"/>
      <c r="I752" s="96"/>
      <c r="J752" s="97"/>
      <c r="K752" s="102"/>
      <c r="L752" s="103"/>
      <c r="M752" s="104"/>
      <c r="N752" s="105"/>
      <c r="O752" s="98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spans="1:27" x14ac:dyDescent="0.25">
      <c r="A753" s="88"/>
      <c r="B753" s="30"/>
      <c r="C753" s="30"/>
      <c r="D753" s="30"/>
      <c r="E753" s="30"/>
      <c r="F753" s="88"/>
      <c r="G753" s="88"/>
      <c r="H753" s="30"/>
      <c r="I753" s="96"/>
      <c r="J753" s="97"/>
      <c r="K753" s="102"/>
      <c r="L753" s="103"/>
      <c r="M753" s="104"/>
      <c r="N753" s="105"/>
      <c r="O753" s="98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spans="1:27" x14ac:dyDescent="0.25">
      <c r="A754" s="88"/>
      <c r="B754" s="30"/>
      <c r="C754" s="30"/>
      <c r="D754" s="30"/>
      <c r="E754" s="30"/>
      <c r="F754" s="88"/>
      <c r="G754" s="88"/>
      <c r="H754" s="30"/>
      <c r="I754" s="96"/>
      <c r="J754" s="97"/>
      <c r="K754" s="102"/>
      <c r="L754" s="103"/>
      <c r="M754" s="104"/>
      <c r="N754" s="105"/>
      <c r="O754" s="98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spans="1:27" x14ac:dyDescent="0.25">
      <c r="A755" s="88"/>
      <c r="B755" s="30"/>
      <c r="C755" s="30"/>
      <c r="D755" s="30"/>
      <c r="E755" s="30"/>
      <c r="F755" s="88"/>
      <c r="G755" s="88"/>
      <c r="H755" s="30"/>
      <c r="I755" s="96"/>
      <c r="J755" s="97"/>
      <c r="K755" s="102"/>
      <c r="L755" s="103"/>
      <c r="M755" s="104"/>
      <c r="N755" s="105"/>
      <c r="O755" s="98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spans="1:27" x14ac:dyDescent="0.25">
      <c r="A756" s="88"/>
      <c r="B756" s="30"/>
      <c r="C756" s="30"/>
      <c r="D756" s="30"/>
      <c r="E756" s="30"/>
      <c r="F756" s="88"/>
      <c r="G756" s="88"/>
      <c r="H756" s="30"/>
      <c r="I756" s="96"/>
      <c r="J756" s="97"/>
      <c r="K756" s="102"/>
      <c r="L756" s="103"/>
      <c r="M756" s="104"/>
      <c r="N756" s="105"/>
      <c r="O756" s="98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spans="1:27" x14ac:dyDescent="0.25">
      <c r="A757" s="88"/>
      <c r="B757" s="30"/>
      <c r="C757" s="30"/>
      <c r="D757" s="30"/>
      <c r="E757" s="30"/>
      <c r="F757" s="88"/>
      <c r="G757" s="88"/>
      <c r="H757" s="30"/>
      <c r="I757" s="96"/>
      <c r="J757" s="97"/>
      <c r="K757" s="102"/>
      <c r="L757" s="103"/>
      <c r="M757" s="104"/>
      <c r="N757" s="105"/>
      <c r="O757" s="98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spans="1:27" x14ac:dyDescent="0.25">
      <c r="A758" s="88"/>
      <c r="B758" s="30"/>
      <c r="C758" s="30"/>
      <c r="D758" s="30"/>
      <c r="E758" s="30"/>
      <c r="F758" s="88"/>
      <c r="G758" s="88"/>
      <c r="H758" s="30"/>
      <c r="I758" s="96"/>
      <c r="J758" s="97"/>
      <c r="K758" s="102"/>
      <c r="L758" s="103"/>
      <c r="M758" s="104"/>
      <c r="N758" s="105"/>
      <c r="O758" s="98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spans="1:27" x14ac:dyDescent="0.25">
      <c r="A759" s="88"/>
      <c r="B759" s="30"/>
      <c r="C759" s="30"/>
      <c r="D759" s="30"/>
      <c r="E759" s="30"/>
      <c r="F759" s="88"/>
      <c r="G759" s="88"/>
      <c r="H759" s="30"/>
      <c r="I759" s="96"/>
      <c r="J759" s="97"/>
      <c r="K759" s="102"/>
      <c r="L759" s="103"/>
      <c r="M759" s="104"/>
      <c r="N759" s="105"/>
      <c r="O759" s="98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spans="1:27" x14ac:dyDescent="0.25">
      <c r="A760" s="88"/>
      <c r="B760" s="30"/>
      <c r="C760" s="30"/>
      <c r="D760" s="30"/>
      <c r="E760" s="30"/>
      <c r="F760" s="88"/>
      <c r="G760" s="88"/>
      <c r="H760" s="30"/>
      <c r="I760" s="96"/>
      <c r="J760" s="97"/>
      <c r="K760" s="102"/>
      <c r="L760" s="103"/>
      <c r="M760" s="104"/>
      <c r="N760" s="105"/>
      <c r="O760" s="98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spans="1:27" x14ac:dyDescent="0.25">
      <c r="A761" s="88"/>
      <c r="B761" s="30"/>
      <c r="C761" s="30"/>
      <c r="D761" s="30"/>
      <c r="E761" s="30"/>
      <c r="F761" s="88"/>
      <c r="G761" s="88"/>
      <c r="H761" s="30"/>
      <c r="I761" s="96"/>
      <c r="J761" s="97"/>
      <c r="K761" s="102"/>
      <c r="L761" s="103"/>
      <c r="M761" s="104"/>
      <c r="N761" s="105"/>
      <c r="O761" s="98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spans="1:27" x14ac:dyDescent="0.25">
      <c r="A762" s="88"/>
      <c r="B762" s="30"/>
      <c r="C762" s="30"/>
      <c r="D762" s="30"/>
      <c r="E762" s="30"/>
      <c r="F762" s="88"/>
      <c r="G762" s="88"/>
      <c r="H762" s="30"/>
      <c r="I762" s="96"/>
      <c r="J762" s="97"/>
      <c r="K762" s="102"/>
      <c r="L762" s="103"/>
      <c r="M762" s="104"/>
      <c r="N762" s="105"/>
      <c r="O762" s="98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spans="1:27" x14ac:dyDescent="0.25">
      <c r="A763" s="88"/>
      <c r="B763" s="30"/>
      <c r="C763" s="30"/>
      <c r="D763" s="30"/>
      <c r="E763" s="30"/>
      <c r="F763" s="88"/>
      <c r="G763" s="88"/>
      <c r="H763" s="30"/>
      <c r="I763" s="96"/>
      <c r="J763" s="97"/>
      <c r="K763" s="102"/>
      <c r="L763" s="103"/>
      <c r="M763" s="104"/>
      <c r="N763" s="105"/>
      <c r="O763" s="98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spans="1:27" x14ac:dyDescent="0.25">
      <c r="A764" s="88"/>
      <c r="B764" s="30"/>
      <c r="C764" s="30"/>
      <c r="D764" s="30"/>
      <c r="E764" s="30"/>
      <c r="F764" s="88"/>
      <c r="G764" s="88"/>
      <c r="H764" s="30"/>
      <c r="I764" s="96"/>
      <c r="J764" s="97"/>
      <c r="K764" s="102"/>
      <c r="L764" s="103"/>
      <c r="M764" s="104"/>
      <c r="N764" s="105"/>
      <c r="O764" s="98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spans="1:27" x14ac:dyDescent="0.25">
      <c r="A765" s="88"/>
      <c r="B765" s="30"/>
      <c r="C765" s="30"/>
      <c r="D765" s="30"/>
      <c r="E765" s="30"/>
      <c r="F765" s="88"/>
      <c r="G765" s="88"/>
      <c r="H765" s="30"/>
      <c r="I765" s="96"/>
      <c r="J765" s="97"/>
      <c r="K765" s="102"/>
      <c r="L765" s="103"/>
      <c r="M765" s="104"/>
      <c r="N765" s="105"/>
      <c r="O765" s="98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spans="1:27" x14ac:dyDescent="0.25">
      <c r="A766" s="88"/>
      <c r="B766" s="30"/>
      <c r="C766" s="30"/>
      <c r="D766" s="30"/>
      <c r="E766" s="30"/>
      <c r="F766" s="88"/>
      <c r="G766" s="88"/>
      <c r="H766" s="30"/>
      <c r="I766" s="96"/>
      <c r="J766" s="97"/>
      <c r="K766" s="102"/>
      <c r="L766" s="103"/>
      <c r="M766" s="104"/>
      <c r="N766" s="105"/>
      <c r="O766" s="98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spans="1:27" x14ac:dyDescent="0.25">
      <c r="A767" s="88"/>
      <c r="B767" s="30"/>
      <c r="C767" s="30"/>
      <c r="D767" s="30"/>
      <c r="E767" s="30"/>
      <c r="F767" s="88"/>
      <c r="G767" s="88"/>
      <c r="H767" s="30"/>
      <c r="I767" s="96"/>
      <c r="J767" s="97"/>
      <c r="K767" s="102"/>
      <c r="L767" s="103"/>
      <c r="M767" s="104"/>
      <c r="N767" s="105"/>
      <c r="O767" s="98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spans="1:27" x14ac:dyDescent="0.25">
      <c r="A768" s="88"/>
      <c r="B768" s="30"/>
      <c r="C768" s="30"/>
      <c r="D768" s="30"/>
      <c r="E768" s="30"/>
      <c r="F768" s="88"/>
      <c r="G768" s="88"/>
      <c r="H768" s="30"/>
      <c r="I768" s="96"/>
      <c r="J768" s="97"/>
      <c r="K768" s="102"/>
      <c r="L768" s="103"/>
      <c r="M768" s="104"/>
      <c r="N768" s="105"/>
      <c r="O768" s="98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spans="1:27" x14ac:dyDescent="0.25">
      <c r="A769" s="88"/>
      <c r="B769" s="30"/>
      <c r="C769" s="30"/>
      <c r="D769" s="30"/>
      <c r="E769" s="30"/>
      <c r="F769" s="88"/>
      <c r="G769" s="88"/>
      <c r="H769" s="30"/>
      <c r="I769" s="96"/>
      <c r="J769" s="97"/>
      <c r="K769" s="102"/>
      <c r="L769" s="103"/>
      <c r="M769" s="104"/>
      <c r="N769" s="105"/>
      <c r="O769" s="98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spans="1:27" x14ac:dyDescent="0.25">
      <c r="A770" s="88"/>
      <c r="B770" s="30"/>
      <c r="C770" s="30"/>
      <c r="D770" s="30"/>
      <c r="E770" s="30"/>
      <c r="F770" s="88"/>
      <c r="G770" s="88"/>
      <c r="H770" s="30"/>
      <c r="I770" s="96"/>
      <c r="J770" s="97"/>
      <c r="K770" s="102"/>
      <c r="L770" s="103"/>
      <c r="M770" s="104"/>
      <c r="N770" s="105"/>
      <c r="O770" s="98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spans="1:27" x14ac:dyDescent="0.25">
      <c r="A771" s="88"/>
      <c r="B771" s="30"/>
      <c r="C771" s="30"/>
      <c r="D771" s="30"/>
      <c r="E771" s="30"/>
      <c r="F771" s="88"/>
      <c r="G771" s="88"/>
      <c r="H771" s="30"/>
      <c r="I771" s="96"/>
      <c r="J771" s="97"/>
      <c r="K771" s="102"/>
      <c r="L771" s="103"/>
      <c r="M771" s="104"/>
      <c r="N771" s="105"/>
      <c r="O771" s="98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spans="1:27" x14ac:dyDescent="0.25">
      <c r="A772" s="88"/>
      <c r="B772" s="30"/>
      <c r="C772" s="30"/>
      <c r="D772" s="30"/>
      <c r="E772" s="30"/>
      <c r="F772" s="88"/>
      <c r="G772" s="88"/>
      <c r="H772" s="30"/>
      <c r="I772" s="96"/>
      <c r="J772" s="97"/>
      <c r="K772" s="102"/>
      <c r="L772" s="103"/>
      <c r="M772" s="104"/>
      <c r="N772" s="105"/>
      <c r="O772" s="98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spans="1:27" x14ac:dyDescent="0.25">
      <c r="A773" s="88"/>
      <c r="B773" s="30"/>
      <c r="C773" s="30"/>
      <c r="D773" s="30"/>
      <c r="E773" s="30"/>
      <c r="F773" s="88"/>
      <c r="G773" s="88"/>
      <c r="H773" s="30"/>
      <c r="I773" s="96"/>
      <c r="J773" s="97"/>
      <c r="K773" s="102"/>
      <c r="L773" s="103"/>
      <c r="M773" s="104"/>
      <c r="N773" s="105"/>
      <c r="O773" s="98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spans="1:27" x14ac:dyDescent="0.25">
      <c r="A774" s="88"/>
      <c r="B774" s="30"/>
      <c r="C774" s="30"/>
      <c r="D774" s="30"/>
      <c r="E774" s="30"/>
      <c r="F774" s="88"/>
      <c r="G774" s="88"/>
      <c r="H774" s="30"/>
      <c r="I774" s="96"/>
      <c r="J774" s="97"/>
      <c r="K774" s="102"/>
      <c r="L774" s="103"/>
      <c r="M774" s="104"/>
      <c r="N774" s="105"/>
      <c r="O774" s="98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spans="1:27" x14ac:dyDescent="0.25">
      <c r="A775" s="88"/>
      <c r="B775" s="30"/>
      <c r="C775" s="30"/>
      <c r="D775" s="30"/>
      <c r="E775" s="30"/>
      <c r="F775" s="88"/>
      <c r="G775" s="88"/>
      <c r="H775" s="30"/>
      <c r="I775" s="96"/>
      <c r="J775" s="97"/>
      <c r="K775" s="102"/>
      <c r="L775" s="103"/>
      <c r="M775" s="104"/>
      <c r="N775" s="105"/>
      <c r="O775" s="98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spans="1:27" x14ac:dyDescent="0.25">
      <c r="A776" s="88"/>
      <c r="B776" s="30"/>
      <c r="C776" s="30"/>
      <c r="D776" s="30"/>
      <c r="E776" s="30"/>
      <c r="F776" s="88"/>
      <c r="G776" s="88"/>
      <c r="H776" s="30"/>
      <c r="I776" s="96"/>
      <c r="J776" s="97"/>
      <c r="K776" s="102"/>
      <c r="L776" s="103"/>
      <c r="M776" s="104"/>
      <c r="N776" s="105"/>
      <c r="O776" s="98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spans="1:27" x14ac:dyDescent="0.25">
      <c r="A777" s="88"/>
      <c r="B777" s="30"/>
      <c r="C777" s="30"/>
      <c r="D777" s="30"/>
      <c r="E777" s="30"/>
      <c r="F777" s="88"/>
      <c r="G777" s="88"/>
      <c r="H777" s="30"/>
      <c r="I777" s="96"/>
      <c r="J777" s="97"/>
      <c r="K777" s="102"/>
      <c r="L777" s="103"/>
      <c r="M777" s="104"/>
      <c r="N777" s="105"/>
      <c r="O777" s="98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spans="1:27" x14ac:dyDescent="0.25">
      <c r="A778" s="88"/>
      <c r="B778" s="30"/>
      <c r="C778" s="30"/>
      <c r="D778" s="30"/>
      <c r="E778" s="30"/>
      <c r="F778" s="88"/>
      <c r="G778" s="88"/>
      <c r="H778" s="30"/>
      <c r="I778" s="96"/>
      <c r="J778" s="97"/>
      <c r="K778" s="102"/>
      <c r="L778" s="103"/>
      <c r="M778" s="104"/>
      <c r="N778" s="105"/>
      <c r="O778" s="98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spans="1:27" x14ac:dyDescent="0.25">
      <c r="A779" s="88"/>
      <c r="B779" s="30"/>
      <c r="C779" s="30"/>
      <c r="D779" s="30"/>
      <c r="E779" s="30"/>
      <c r="F779" s="88"/>
      <c r="G779" s="88"/>
      <c r="H779" s="30"/>
      <c r="I779" s="96"/>
      <c r="J779" s="97"/>
      <c r="K779" s="102"/>
      <c r="L779" s="103"/>
      <c r="M779" s="104"/>
      <c r="N779" s="105"/>
      <c r="O779" s="98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spans="1:27" x14ac:dyDescent="0.25">
      <c r="A780" s="88"/>
      <c r="B780" s="30"/>
      <c r="C780" s="30"/>
      <c r="D780" s="30"/>
      <c r="E780" s="30"/>
      <c r="F780" s="88"/>
      <c r="G780" s="88"/>
      <c r="H780" s="30"/>
      <c r="I780" s="96"/>
      <c r="J780" s="97"/>
      <c r="K780" s="102"/>
      <c r="L780" s="103"/>
      <c r="M780" s="104"/>
      <c r="N780" s="105"/>
      <c r="O780" s="98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spans="1:27" x14ac:dyDescent="0.25">
      <c r="A781" s="88"/>
      <c r="B781" s="30"/>
      <c r="C781" s="30"/>
      <c r="D781" s="30"/>
      <c r="E781" s="30"/>
      <c r="F781" s="88"/>
      <c r="G781" s="88"/>
      <c r="H781" s="30"/>
      <c r="I781" s="96"/>
      <c r="J781" s="97"/>
      <c r="K781" s="102"/>
      <c r="L781" s="103"/>
      <c r="M781" s="104"/>
      <c r="N781" s="105"/>
      <c r="O781" s="98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spans="1:27" x14ac:dyDescent="0.25">
      <c r="A782" s="88"/>
      <c r="B782" s="30"/>
      <c r="C782" s="30"/>
      <c r="D782" s="30"/>
      <c r="E782" s="30"/>
      <c r="F782" s="88"/>
      <c r="G782" s="88"/>
      <c r="H782" s="30"/>
      <c r="I782" s="96"/>
      <c r="J782" s="97"/>
      <c r="K782" s="102"/>
      <c r="L782" s="103"/>
      <c r="M782" s="104"/>
      <c r="N782" s="105"/>
      <c r="O782" s="98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spans="1:27" x14ac:dyDescent="0.25">
      <c r="A783" s="88"/>
      <c r="B783" s="30"/>
      <c r="C783" s="30"/>
      <c r="D783" s="30"/>
      <c r="E783" s="30"/>
      <c r="F783" s="88"/>
      <c r="G783" s="88"/>
      <c r="H783" s="30"/>
      <c r="I783" s="96"/>
      <c r="J783" s="97"/>
      <c r="K783" s="102"/>
      <c r="L783" s="103"/>
      <c r="M783" s="104"/>
      <c r="N783" s="105"/>
      <c r="O783" s="98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spans="1:27" x14ac:dyDescent="0.25">
      <c r="A784" s="88"/>
      <c r="B784" s="30"/>
      <c r="C784" s="30"/>
      <c r="D784" s="30"/>
      <c r="E784" s="30"/>
      <c r="F784" s="88"/>
      <c r="G784" s="88"/>
      <c r="H784" s="30"/>
      <c r="I784" s="96"/>
      <c r="J784" s="97"/>
      <c r="K784" s="102"/>
      <c r="L784" s="103"/>
      <c r="M784" s="104"/>
      <c r="N784" s="105"/>
      <c r="O784" s="98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spans="1:27" x14ac:dyDescent="0.25">
      <c r="A785" s="88"/>
      <c r="B785" s="30"/>
      <c r="C785" s="30"/>
      <c r="D785" s="30"/>
      <c r="E785" s="30"/>
      <c r="F785" s="88"/>
      <c r="G785" s="88"/>
      <c r="H785" s="30"/>
      <c r="I785" s="96"/>
      <c r="J785" s="97"/>
      <c r="K785" s="102"/>
      <c r="L785" s="103"/>
      <c r="M785" s="104"/>
      <c r="N785" s="105"/>
      <c r="O785" s="98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spans="1:27" x14ac:dyDescent="0.25">
      <c r="A786" s="88"/>
      <c r="B786" s="30"/>
      <c r="C786" s="30"/>
      <c r="D786" s="30"/>
      <c r="E786" s="30"/>
      <c r="F786" s="88"/>
      <c r="G786" s="88"/>
      <c r="H786" s="30"/>
      <c r="I786" s="96"/>
      <c r="J786" s="97"/>
      <c r="K786" s="102"/>
      <c r="L786" s="103"/>
      <c r="M786" s="104"/>
      <c r="N786" s="105"/>
      <c r="O786" s="98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spans="1:27" x14ac:dyDescent="0.25">
      <c r="A787" s="88"/>
      <c r="B787" s="30"/>
      <c r="C787" s="30"/>
      <c r="D787" s="30"/>
      <c r="E787" s="30"/>
      <c r="F787" s="88"/>
      <c r="G787" s="88"/>
      <c r="H787" s="30"/>
      <c r="I787" s="96"/>
      <c r="J787" s="97"/>
      <c r="K787" s="102"/>
      <c r="L787" s="103"/>
      <c r="M787" s="104"/>
      <c r="N787" s="105"/>
      <c r="O787" s="98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spans="1:27" x14ac:dyDescent="0.25">
      <c r="A788" s="88"/>
      <c r="B788" s="30"/>
      <c r="C788" s="30"/>
      <c r="D788" s="30"/>
      <c r="E788" s="30"/>
      <c r="F788" s="88"/>
      <c r="G788" s="88"/>
      <c r="H788" s="30"/>
      <c r="I788" s="96"/>
      <c r="J788" s="97"/>
      <c r="K788" s="102"/>
      <c r="L788" s="103"/>
      <c r="M788" s="104"/>
      <c r="N788" s="105"/>
      <c r="O788" s="98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spans="1:27" x14ac:dyDescent="0.25">
      <c r="A789" s="88"/>
      <c r="B789" s="30"/>
      <c r="C789" s="30"/>
      <c r="D789" s="30"/>
      <c r="E789" s="30"/>
      <c r="F789" s="88"/>
      <c r="G789" s="88"/>
      <c r="H789" s="30"/>
      <c r="I789" s="96"/>
      <c r="J789" s="97"/>
      <c r="K789" s="102"/>
      <c r="L789" s="103"/>
      <c r="M789" s="104"/>
      <c r="N789" s="105"/>
      <c r="O789" s="98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spans="1:27" x14ac:dyDescent="0.25">
      <c r="A790" s="88"/>
      <c r="B790" s="30"/>
      <c r="C790" s="30"/>
      <c r="D790" s="30"/>
      <c r="E790" s="30"/>
      <c r="F790" s="88"/>
      <c r="G790" s="88"/>
      <c r="H790" s="30"/>
      <c r="I790" s="96"/>
      <c r="J790" s="97"/>
      <c r="K790" s="102"/>
      <c r="L790" s="103"/>
      <c r="M790" s="104"/>
      <c r="N790" s="105"/>
      <c r="O790" s="98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spans="1:27" x14ac:dyDescent="0.25">
      <c r="A791" s="88"/>
      <c r="B791" s="30"/>
      <c r="C791" s="30"/>
      <c r="D791" s="30"/>
      <c r="E791" s="30"/>
      <c r="F791" s="88"/>
      <c r="G791" s="88"/>
      <c r="H791" s="30"/>
      <c r="I791" s="96"/>
      <c r="J791" s="97"/>
      <c r="K791" s="102"/>
      <c r="L791" s="103"/>
      <c r="M791" s="104"/>
      <c r="N791" s="105"/>
      <c r="O791" s="98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spans="1:27" x14ac:dyDescent="0.25">
      <c r="A792" s="88"/>
      <c r="B792" s="30"/>
      <c r="C792" s="30"/>
      <c r="D792" s="30"/>
      <c r="E792" s="30"/>
      <c r="F792" s="88"/>
      <c r="G792" s="88"/>
      <c r="H792" s="30"/>
      <c r="I792" s="96"/>
      <c r="J792" s="97"/>
      <c r="K792" s="102"/>
      <c r="L792" s="103"/>
      <c r="M792" s="104"/>
      <c r="N792" s="105"/>
      <c r="O792" s="98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spans="1:27" x14ac:dyDescent="0.25">
      <c r="A793" s="88"/>
      <c r="B793" s="30"/>
      <c r="C793" s="30"/>
      <c r="D793" s="30"/>
      <c r="E793" s="30"/>
      <c r="F793" s="88"/>
      <c r="G793" s="88"/>
      <c r="H793" s="30"/>
      <c r="I793" s="96"/>
      <c r="J793" s="97"/>
      <c r="K793" s="102"/>
      <c r="L793" s="103"/>
      <c r="M793" s="104"/>
      <c r="N793" s="105"/>
      <c r="O793" s="98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spans="1:27" x14ac:dyDescent="0.25">
      <c r="A794" s="88"/>
      <c r="B794" s="30"/>
      <c r="C794" s="30"/>
      <c r="D794" s="30"/>
      <c r="E794" s="30"/>
      <c r="F794" s="88"/>
      <c r="G794" s="88"/>
      <c r="H794" s="30"/>
      <c r="I794" s="96"/>
      <c r="J794" s="97"/>
      <c r="K794" s="102"/>
      <c r="L794" s="103"/>
      <c r="M794" s="104"/>
      <c r="N794" s="105"/>
      <c r="O794" s="98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spans="1:27" x14ac:dyDescent="0.25">
      <c r="A795" s="88"/>
      <c r="B795" s="30"/>
      <c r="C795" s="30"/>
      <c r="D795" s="30"/>
      <c r="E795" s="30"/>
      <c r="F795" s="88"/>
      <c r="G795" s="88"/>
      <c r="H795" s="30"/>
      <c r="I795" s="96"/>
      <c r="J795" s="97"/>
      <c r="K795" s="102"/>
      <c r="L795" s="103"/>
      <c r="M795" s="104"/>
      <c r="N795" s="105"/>
      <c r="O795" s="98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spans="1:27" x14ac:dyDescent="0.25">
      <c r="A796" s="88"/>
      <c r="B796" s="30"/>
      <c r="C796" s="30"/>
      <c r="D796" s="30"/>
      <c r="E796" s="30"/>
      <c r="F796" s="88"/>
      <c r="G796" s="88"/>
      <c r="H796" s="30"/>
      <c r="I796" s="96"/>
      <c r="J796" s="97"/>
      <c r="K796" s="102"/>
      <c r="L796" s="103"/>
      <c r="M796" s="104"/>
      <c r="N796" s="105"/>
      <c r="O796" s="98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spans="1:27" x14ac:dyDescent="0.25">
      <c r="A797" s="88"/>
      <c r="B797" s="30"/>
      <c r="C797" s="30"/>
      <c r="D797" s="30"/>
      <c r="E797" s="30"/>
      <c r="F797" s="88"/>
      <c r="G797" s="88"/>
      <c r="H797" s="30"/>
      <c r="I797" s="96"/>
      <c r="J797" s="97"/>
      <c r="K797" s="102"/>
      <c r="L797" s="103"/>
      <c r="M797" s="104"/>
      <c r="N797" s="105"/>
      <c r="O797" s="98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spans="1:27" x14ac:dyDescent="0.25">
      <c r="A798" s="88"/>
      <c r="B798" s="30"/>
      <c r="C798" s="30"/>
      <c r="D798" s="30"/>
      <c r="E798" s="30"/>
      <c r="F798" s="88"/>
      <c r="G798" s="88"/>
      <c r="H798" s="30"/>
      <c r="I798" s="96"/>
      <c r="J798" s="97"/>
      <c r="K798" s="102"/>
      <c r="L798" s="103"/>
      <c r="M798" s="104"/>
      <c r="N798" s="105"/>
      <c r="O798" s="98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spans="1:27" x14ac:dyDescent="0.25">
      <c r="A799" s="88"/>
      <c r="B799" s="30"/>
      <c r="C799" s="30"/>
      <c r="D799" s="30"/>
      <c r="E799" s="30"/>
      <c r="F799" s="88"/>
      <c r="G799" s="88"/>
      <c r="H799" s="30"/>
      <c r="I799" s="96"/>
      <c r="J799" s="97"/>
      <c r="K799" s="102"/>
      <c r="L799" s="103"/>
      <c r="M799" s="104"/>
      <c r="N799" s="105"/>
      <c r="O799" s="98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spans="1:27" x14ac:dyDescent="0.25">
      <c r="A800" s="88"/>
      <c r="B800" s="30"/>
      <c r="C800" s="30"/>
      <c r="D800" s="30"/>
      <c r="E800" s="30"/>
      <c r="F800" s="88"/>
      <c r="G800" s="88"/>
      <c r="H800" s="30"/>
      <c r="I800" s="96"/>
      <c r="J800" s="97"/>
      <c r="K800" s="102"/>
      <c r="L800" s="103"/>
      <c r="M800" s="104"/>
      <c r="N800" s="105"/>
      <c r="O800" s="98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spans="1:27" x14ac:dyDescent="0.25">
      <c r="A801" s="88"/>
      <c r="B801" s="30"/>
      <c r="C801" s="30"/>
      <c r="D801" s="30"/>
      <c r="E801" s="30"/>
      <c r="F801" s="88"/>
      <c r="G801" s="88"/>
      <c r="H801" s="30"/>
      <c r="I801" s="96"/>
      <c r="J801" s="97"/>
      <c r="K801" s="102"/>
      <c r="L801" s="103"/>
      <c r="M801" s="104"/>
      <c r="N801" s="105"/>
      <c r="O801" s="98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spans="1:27" x14ac:dyDescent="0.25">
      <c r="A802" s="88"/>
      <c r="B802" s="30"/>
      <c r="C802" s="30"/>
      <c r="D802" s="30"/>
      <c r="E802" s="30"/>
      <c r="F802" s="88"/>
      <c r="G802" s="88"/>
      <c r="H802" s="30"/>
      <c r="I802" s="96"/>
      <c r="J802" s="97"/>
      <c r="K802" s="102"/>
      <c r="L802" s="103"/>
      <c r="M802" s="104"/>
      <c r="N802" s="105"/>
      <c r="O802" s="98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spans="1:27" x14ac:dyDescent="0.25">
      <c r="A803" s="88"/>
      <c r="B803" s="30"/>
      <c r="C803" s="30"/>
      <c r="D803" s="30"/>
      <c r="E803" s="30"/>
      <c r="F803" s="88"/>
      <c r="G803" s="88"/>
      <c r="H803" s="30"/>
      <c r="I803" s="96"/>
      <c r="J803" s="97"/>
      <c r="K803" s="102"/>
      <c r="L803" s="103"/>
      <c r="M803" s="104"/>
      <c r="N803" s="105"/>
      <c r="O803" s="98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spans="1:27" x14ac:dyDescent="0.25">
      <c r="A804" s="88"/>
      <c r="B804" s="30"/>
      <c r="C804" s="30"/>
      <c r="D804" s="30"/>
      <c r="E804" s="30"/>
      <c r="F804" s="88"/>
      <c r="G804" s="88"/>
      <c r="H804" s="30"/>
      <c r="I804" s="96"/>
      <c r="J804" s="97"/>
      <c r="K804" s="102"/>
      <c r="L804" s="103"/>
      <c r="M804" s="104"/>
      <c r="N804" s="105"/>
      <c r="O804" s="98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spans="1:27" x14ac:dyDescent="0.25">
      <c r="A805" s="88"/>
      <c r="B805" s="30"/>
      <c r="C805" s="30"/>
      <c r="D805" s="30"/>
      <c r="E805" s="30"/>
      <c r="F805" s="88"/>
      <c r="G805" s="88"/>
      <c r="H805" s="30"/>
      <c r="I805" s="96"/>
      <c r="J805" s="97"/>
      <c r="K805" s="102"/>
      <c r="L805" s="103"/>
      <c r="M805" s="104"/>
      <c r="N805" s="105"/>
      <c r="O805" s="98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spans="1:27" x14ac:dyDescent="0.25">
      <c r="A806" s="88"/>
      <c r="B806" s="30"/>
      <c r="C806" s="30"/>
      <c r="D806" s="30"/>
      <c r="E806" s="30"/>
      <c r="F806" s="88"/>
      <c r="G806" s="88"/>
      <c r="H806" s="30"/>
      <c r="I806" s="96"/>
      <c r="J806" s="97"/>
      <c r="K806" s="102"/>
      <c r="L806" s="103"/>
      <c r="M806" s="104"/>
      <c r="N806" s="105"/>
      <c r="O806" s="98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spans="1:27" x14ac:dyDescent="0.25">
      <c r="A807" s="88"/>
      <c r="B807" s="30"/>
      <c r="C807" s="30"/>
      <c r="D807" s="30"/>
      <c r="E807" s="30"/>
      <c r="F807" s="88"/>
      <c r="G807" s="88"/>
      <c r="H807" s="30"/>
      <c r="I807" s="96"/>
      <c r="J807" s="97"/>
      <c r="K807" s="102"/>
      <c r="L807" s="103"/>
      <c r="M807" s="104"/>
      <c r="N807" s="105"/>
      <c r="O807" s="98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spans="1:27" x14ac:dyDescent="0.25">
      <c r="A808" s="88"/>
      <c r="B808" s="30"/>
      <c r="C808" s="30"/>
      <c r="D808" s="30"/>
      <c r="E808" s="30"/>
      <c r="F808" s="88"/>
      <c r="G808" s="88"/>
      <c r="H808" s="30"/>
      <c r="I808" s="96"/>
      <c r="J808" s="97"/>
      <c r="K808" s="102"/>
      <c r="L808" s="103"/>
      <c r="M808" s="104"/>
      <c r="N808" s="105"/>
      <c r="O808" s="98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spans="1:27" x14ac:dyDescent="0.25">
      <c r="A809" s="88"/>
      <c r="B809" s="30"/>
      <c r="C809" s="30"/>
      <c r="D809" s="30"/>
      <c r="E809" s="30"/>
      <c r="F809" s="88"/>
      <c r="G809" s="88"/>
      <c r="H809" s="30"/>
      <c r="I809" s="96"/>
      <c r="J809" s="97"/>
      <c r="K809" s="102"/>
      <c r="L809" s="103"/>
      <c r="M809" s="104"/>
      <c r="N809" s="105"/>
      <c r="O809" s="98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spans="1:27" x14ac:dyDescent="0.25">
      <c r="A810" s="88"/>
      <c r="B810" s="30"/>
      <c r="C810" s="30"/>
      <c r="D810" s="30"/>
      <c r="E810" s="30"/>
      <c r="F810" s="88"/>
      <c r="G810" s="88"/>
      <c r="H810" s="30"/>
      <c r="I810" s="96"/>
      <c r="J810" s="97"/>
      <c r="K810" s="102"/>
      <c r="L810" s="103"/>
      <c r="M810" s="104"/>
      <c r="N810" s="105"/>
      <c r="O810" s="98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spans="1:27" x14ac:dyDescent="0.25">
      <c r="A811" s="88"/>
      <c r="B811" s="30"/>
      <c r="C811" s="30"/>
      <c r="D811" s="30"/>
      <c r="E811" s="30"/>
      <c r="F811" s="88"/>
      <c r="G811" s="88"/>
      <c r="H811" s="30"/>
      <c r="I811" s="96"/>
      <c r="J811" s="97"/>
      <c r="K811" s="102"/>
      <c r="L811" s="103"/>
      <c r="M811" s="104"/>
      <c r="N811" s="105"/>
      <c r="O811" s="98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spans="1:27" x14ac:dyDescent="0.25">
      <c r="A812" s="88"/>
      <c r="B812" s="30"/>
      <c r="C812" s="30"/>
      <c r="D812" s="30"/>
      <c r="E812" s="30"/>
      <c r="F812" s="88"/>
      <c r="G812" s="88"/>
      <c r="H812" s="30"/>
      <c r="I812" s="96"/>
      <c r="J812" s="97"/>
      <c r="K812" s="102"/>
      <c r="L812" s="103"/>
      <c r="M812" s="104"/>
      <c r="N812" s="105"/>
      <c r="O812" s="98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spans="1:27" x14ac:dyDescent="0.25">
      <c r="A813" s="88"/>
      <c r="B813" s="30"/>
      <c r="C813" s="30"/>
      <c r="D813" s="30"/>
      <c r="E813" s="30"/>
      <c r="F813" s="88"/>
      <c r="G813" s="88"/>
      <c r="H813" s="30"/>
      <c r="I813" s="96"/>
      <c r="J813" s="97"/>
      <c r="K813" s="102"/>
      <c r="L813" s="103"/>
      <c r="M813" s="104"/>
      <c r="N813" s="105"/>
      <c r="O813" s="98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spans="1:27" x14ac:dyDescent="0.25">
      <c r="A814" s="88"/>
      <c r="B814" s="30"/>
      <c r="C814" s="30"/>
      <c r="D814" s="30"/>
      <c r="E814" s="30"/>
      <c r="F814" s="88"/>
      <c r="G814" s="88"/>
      <c r="H814" s="30"/>
      <c r="I814" s="96"/>
      <c r="J814" s="97"/>
      <c r="K814" s="102"/>
      <c r="L814" s="103"/>
      <c r="M814" s="104"/>
      <c r="N814" s="105"/>
      <c r="O814" s="98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spans="1:27" x14ac:dyDescent="0.25">
      <c r="A815" s="88"/>
      <c r="B815" s="30"/>
      <c r="C815" s="30"/>
      <c r="D815" s="30"/>
      <c r="E815" s="30"/>
      <c r="F815" s="88"/>
      <c r="G815" s="88"/>
      <c r="H815" s="30"/>
      <c r="I815" s="96"/>
      <c r="J815" s="97"/>
      <c r="K815" s="102"/>
      <c r="L815" s="103"/>
      <c r="M815" s="104"/>
      <c r="N815" s="105"/>
      <c r="O815" s="98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spans="1:27" x14ac:dyDescent="0.25">
      <c r="A816" s="88"/>
      <c r="B816" s="30"/>
      <c r="C816" s="30"/>
      <c r="D816" s="30"/>
      <c r="E816" s="30"/>
      <c r="F816" s="88"/>
      <c r="G816" s="88"/>
      <c r="H816" s="30"/>
      <c r="I816" s="96"/>
      <c r="J816" s="97"/>
      <c r="K816" s="102"/>
      <c r="L816" s="103"/>
      <c r="M816" s="104"/>
      <c r="N816" s="105"/>
      <c r="O816" s="98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spans="1:27" x14ac:dyDescent="0.25">
      <c r="A817" s="88"/>
      <c r="B817" s="30"/>
      <c r="C817" s="30"/>
      <c r="D817" s="30"/>
      <c r="E817" s="30"/>
      <c r="F817" s="88"/>
      <c r="G817" s="88"/>
      <c r="H817" s="30"/>
      <c r="I817" s="96"/>
      <c r="J817" s="97"/>
      <c r="K817" s="102"/>
      <c r="L817" s="103"/>
      <c r="M817" s="104"/>
      <c r="N817" s="105"/>
      <c r="O817" s="98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spans="1:27" x14ac:dyDescent="0.25">
      <c r="A818" s="88"/>
      <c r="B818" s="30"/>
      <c r="C818" s="30"/>
      <c r="D818" s="30"/>
      <c r="E818" s="30"/>
      <c r="F818" s="88"/>
      <c r="G818" s="88"/>
      <c r="H818" s="30"/>
      <c r="I818" s="96"/>
      <c r="J818" s="97"/>
      <c r="K818" s="102"/>
      <c r="L818" s="103"/>
      <c r="M818" s="104"/>
      <c r="N818" s="105"/>
      <c r="O818" s="98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spans="1:27" x14ac:dyDescent="0.25">
      <c r="A819" s="88"/>
      <c r="B819" s="30"/>
      <c r="C819" s="30"/>
      <c r="D819" s="30"/>
      <c r="E819" s="30"/>
      <c r="F819" s="88"/>
      <c r="G819" s="88"/>
      <c r="H819" s="30"/>
      <c r="I819" s="96"/>
      <c r="J819" s="97"/>
      <c r="K819" s="102"/>
      <c r="L819" s="103"/>
      <c r="M819" s="104"/>
      <c r="N819" s="105"/>
      <c r="O819" s="98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spans="1:27" x14ac:dyDescent="0.25">
      <c r="A820" s="88"/>
      <c r="B820" s="30"/>
      <c r="C820" s="30"/>
      <c r="D820" s="30"/>
      <c r="E820" s="30"/>
      <c r="F820" s="88"/>
      <c r="G820" s="88"/>
      <c r="H820" s="30"/>
      <c r="I820" s="96"/>
      <c r="J820" s="97"/>
      <c r="K820" s="102"/>
      <c r="L820" s="103"/>
      <c r="M820" s="104"/>
      <c r="N820" s="105"/>
      <c r="O820" s="98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spans="1:27" x14ac:dyDescent="0.25">
      <c r="A821" s="88"/>
      <c r="B821" s="30"/>
      <c r="C821" s="30"/>
      <c r="D821" s="30"/>
      <c r="E821" s="30"/>
      <c r="F821" s="88"/>
      <c r="G821" s="88"/>
      <c r="H821" s="30"/>
      <c r="I821" s="96"/>
      <c r="J821" s="97"/>
      <c r="K821" s="102"/>
      <c r="L821" s="103"/>
      <c r="M821" s="104"/>
      <c r="N821" s="105"/>
      <c r="O821" s="98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spans="1:27" x14ac:dyDescent="0.25">
      <c r="A822" s="88"/>
      <c r="B822" s="30"/>
      <c r="C822" s="30"/>
      <c r="D822" s="30"/>
      <c r="E822" s="30"/>
      <c r="F822" s="88"/>
      <c r="G822" s="88"/>
      <c r="H822" s="30"/>
      <c r="I822" s="96"/>
      <c r="J822" s="97"/>
      <c r="K822" s="102"/>
      <c r="L822" s="103"/>
      <c r="M822" s="104"/>
      <c r="N822" s="105"/>
      <c r="O822" s="98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spans="1:27" x14ac:dyDescent="0.25">
      <c r="A823" s="88"/>
      <c r="B823" s="30"/>
      <c r="C823" s="30"/>
      <c r="D823" s="30"/>
      <c r="E823" s="30"/>
      <c r="F823" s="88"/>
      <c r="G823" s="88"/>
      <c r="H823" s="30"/>
      <c r="I823" s="96"/>
      <c r="J823" s="97"/>
      <c r="K823" s="102"/>
      <c r="L823" s="103"/>
      <c r="M823" s="104"/>
      <c r="N823" s="105"/>
      <c r="O823" s="98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spans="1:27" x14ac:dyDescent="0.25">
      <c r="A824" s="88"/>
      <c r="B824" s="30"/>
      <c r="C824" s="30"/>
      <c r="D824" s="30"/>
      <c r="E824" s="30"/>
      <c r="F824" s="88"/>
      <c r="G824" s="88"/>
      <c r="H824" s="30"/>
      <c r="I824" s="96"/>
      <c r="J824" s="97"/>
      <c r="K824" s="102"/>
      <c r="L824" s="103"/>
      <c r="M824" s="104"/>
      <c r="N824" s="105"/>
      <c r="O824" s="98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spans="1:27" x14ac:dyDescent="0.25">
      <c r="A825" s="88"/>
      <c r="B825" s="30"/>
      <c r="C825" s="30"/>
      <c r="D825" s="30"/>
      <c r="E825" s="30"/>
      <c r="F825" s="88"/>
      <c r="G825" s="88"/>
      <c r="H825" s="30"/>
      <c r="I825" s="96"/>
      <c r="J825" s="97"/>
      <c r="K825" s="102"/>
      <c r="L825" s="103"/>
      <c r="M825" s="104"/>
      <c r="N825" s="105"/>
      <c r="O825" s="98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spans="1:27" x14ac:dyDescent="0.25">
      <c r="A826" s="88"/>
      <c r="B826" s="30"/>
      <c r="C826" s="30"/>
      <c r="D826" s="30"/>
      <c r="E826" s="30"/>
      <c r="F826" s="88"/>
      <c r="G826" s="88"/>
      <c r="H826" s="30"/>
      <c r="I826" s="96"/>
      <c r="J826" s="97"/>
      <c r="K826" s="102"/>
      <c r="L826" s="103"/>
      <c r="M826" s="104"/>
      <c r="N826" s="105"/>
      <c r="O826" s="98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spans="1:27" x14ac:dyDescent="0.25">
      <c r="A827" s="88"/>
      <c r="B827" s="30"/>
      <c r="C827" s="30"/>
      <c r="D827" s="30"/>
      <c r="E827" s="30"/>
      <c r="F827" s="88"/>
      <c r="G827" s="88"/>
      <c r="H827" s="30"/>
      <c r="I827" s="96"/>
      <c r="J827" s="97"/>
      <c r="K827" s="102"/>
      <c r="L827" s="103"/>
      <c r="M827" s="104"/>
      <c r="N827" s="105"/>
      <c r="O827" s="98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spans="1:27" x14ac:dyDescent="0.25">
      <c r="A828" s="88"/>
      <c r="B828" s="30"/>
      <c r="C828" s="30"/>
      <c r="D828" s="30"/>
      <c r="E828" s="30"/>
      <c r="F828" s="88"/>
      <c r="G828" s="88"/>
      <c r="H828" s="30"/>
      <c r="I828" s="96"/>
      <c r="J828" s="97"/>
      <c r="K828" s="102"/>
      <c r="L828" s="103"/>
      <c r="M828" s="104"/>
      <c r="N828" s="105"/>
      <c r="O828" s="98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spans="1:27" x14ac:dyDescent="0.25">
      <c r="A829" s="88"/>
      <c r="B829" s="30"/>
      <c r="C829" s="30"/>
      <c r="D829" s="30"/>
      <c r="E829" s="30"/>
      <c r="F829" s="88"/>
      <c r="G829" s="88"/>
      <c r="H829" s="30"/>
      <c r="I829" s="96"/>
      <c r="J829" s="97"/>
      <c r="K829" s="102"/>
      <c r="L829" s="103"/>
      <c r="M829" s="104"/>
      <c r="N829" s="105"/>
      <c r="O829" s="98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spans="1:27" x14ac:dyDescent="0.25">
      <c r="A830" s="88"/>
      <c r="B830" s="30"/>
      <c r="C830" s="30"/>
      <c r="D830" s="30"/>
      <c r="E830" s="30"/>
      <c r="F830" s="88"/>
      <c r="G830" s="88"/>
      <c r="H830" s="30"/>
      <c r="I830" s="96"/>
      <c r="J830" s="97"/>
      <c r="K830" s="102"/>
      <c r="L830" s="103"/>
      <c r="M830" s="104"/>
      <c r="N830" s="105"/>
      <c r="O830" s="98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spans="1:27" x14ac:dyDescent="0.25">
      <c r="A831" s="88"/>
      <c r="B831" s="30"/>
      <c r="C831" s="30"/>
      <c r="D831" s="30"/>
      <c r="E831" s="30"/>
      <c r="F831" s="88"/>
      <c r="G831" s="88"/>
      <c r="H831" s="30"/>
      <c r="I831" s="96"/>
      <c r="J831" s="97"/>
      <c r="K831" s="102"/>
      <c r="L831" s="103"/>
      <c r="M831" s="104"/>
      <c r="N831" s="105"/>
      <c r="O831" s="98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spans="1:27" x14ac:dyDescent="0.25">
      <c r="A832" s="88"/>
      <c r="B832" s="30"/>
      <c r="C832" s="30"/>
      <c r="D832" s="30"/>
      <c r="E832" s="30"/>
      <c r="F832" s="88"/>
      <c r="G832" s="88"/>
      <c r="H832" s="30"/>
      <c r="I832" s="96"/>
      <c r="J832" s="97"/>
      <c r="K832" s="102"/>
      <c r="L832" s="103"/>
      <c r="M832" s="104"/>
      <c r="N832" s="105"/>
      <c r="O832" s="98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spans="1:27" x14ac:dyDescent="0.25">
      <c r="A833" s="88"/>
      <c r="B833" s="30"/>
      <c r="C833" s="30"/>
      <c r="D833" s="30"/>
      <c r="E833" s="30"/>
      <c r="F833" s="88"/>
      <c r="G833" s="88"/>
      <c r="H833" s="30"/>
      <c r="I833" s="96"/>
      <c r="J833" s="97"/>
      <c r="K833" s="102"/>
      <c r="L833" s="103"/>
      <c r="M833" s="104"/>
      <c r="N833" s="105"/>
      <c r="O833" s="98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spans="1:27" x14ac:dyDescent="0.25">
      <c r="A834" s="88"/>
      <c r="B834" s="30"/>
      <c r="C834" s="30"/>
      <c r="D834" s="30"/>
      <c r="E834" s="30"/>
      <c r="F834" s="88"/>
      <c r="G834" s="88"/>
      <c r="H834" s="30"/>
      <c r="I834" s="96"/>
      <c r="J834" s="97"/>
      <c r="K834" s="102"/>
      <c r="L834" s="103"/>
      <c r="M834" s="104"/>
      <c r="N834" s="105"/>
      <c r="O834" s="98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spans="1:27" x14ac:dyDescent="0.25">
      <c r="A835" s="88"/>
      <c r="B835" s="30"/>
      <c r="C835" s="30"/>
      <c r="D835" s="30"/>
      <c r="E835" s="30"/>
      <c r="F835" s="88"/>
      <c r="G835" s="88"/>
      <c r="H835" s="30"/>
      <c r="I835" s="96"/>
      <c r="J835" s="97"/>
      <c r="K835" s="102"/>
      <c r="L835" s="103"/>
      <c r="M835" s="104"/>
      <c r="N835" s="105"/>
      <c r="O835" s="98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spans="1:27" x14ac:dyDescent="0.25">
      <c r="A836" s="88"/>
      <c r="B836" s="30"/>
      <c r="C836" s="30"/>
      <c r="D836" s="30"/>
      <c r="E836" s="30"/>
      <c r="F836" s="88"/>
      <c r="G836" s="88"/>
      <c r="H836" s="30"/>
      <c r="I836" s="96"/>
      <c r="J836" s="97"/>
      <c r="K836" s="102"/>
      <c r="L836" s="103"/>
      <c r="M836" s="104"/>
      <c r="N836" s="105"/>
      <c r="O836" s="98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spans="1:27" x14ac:dyDescent="0.25">
      <c r="A837" s="88"/>
      <c r="B837" s="30"/>
      <c r="C837" s="30"/>
      <c r="D837" s="30"/>
      <c r="E837" s="30"/>
      <c r="F837" s="88"/>
      <c r="G837" s="88"/>
      <c r="H837" s="30"/>
      <c r="I837" s="96"/>
      <c r="J837" s="97"/>
      <c r="K837" s="102"/>
      <c r="L837" s="103"/>
      <c r="M837" s="104"/>
      <c r="N837" s="105"/>
      <c r="O837" s="98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spans="1:27" x14ac:dyDescent="0.25">
      <c r="A838" s="88"/>
      <c r="B838" s="30"/>
      <c r="C838" s="30"/>
      <c r="D838" s="30"/>
      <c r="E838" s="30"/>
      <c r="F838" s="88"/>
      <c r="G838" s="88"/>
      <c r="H838" s="30"/>
      <c r="I838" s="96"/>
      <c r="J838" s="97"/>
      <c r="K838" s="102"/>
      <c r="L838" s="103"/>
      <c r="M838" s="104"/>
      <c r="N838" s="105"/>
      <c r="O838" s="98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spans="1:27" x14ac:dyDescent="0.25">
      <c r="A839" s="88"/>
      <c r="B839" s="30"/>
      <c r="C839" s="30"/>
      <c r="D839" s="30"/>
      <c r="E839" s="30"/>
      <c r="F839" s="88"/>
      <c r="G839" s="88"/>
      <c r="H839" s="30"/>
      <c r="I839" s="96"/>
      <c r="J839" s="97"/>
      <c r="K839" s="102"/>
      <c r="L839" s="103"/>
      <c r="M839" s="104"/>
      <c r="N839" s="105"/>
      <c r="O839" s="98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spans="1:27" x14ac:dyDescent="0.25">
      <c r="A840" s="88"/>
      <c r="B840" s="30"/>
      <c r="C840" s="30"/>
      <c r="D840" s="30"/>
      <c r="E840" s="30"/>
      <c r="F840" s="88"/>
      <c r="G840" s="88"/>
      <c r="H840" s="30"/>
      <c r="I840" s="96"/>
      <c r="J840" s="97"/>
      <c r="K840" s="102"/>
      <c r="L840" s="103"/>
      <c r="M840" s="104"/>
      <c r="N840" s="105"/>
      <c r="O840" s="98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spans="1:27" x14ac:dyDescent="0.25">
      <c r="A841" s="88"/>
      <c r="B841" s="30"/>
      <c r="C841" s="30"/>
      <c r="D841" s="30"/>
      <c r="E841" s="30"/>
      <c r="F841" s="88"/>
      <c r="G841" s="88"/>
      <c r="H841" s="30"/>
      <c r="I841" s="96"/>
      <c r="J841" s="97"/>
      <c r="K841" s="102"/>
      <c r="L841" s="103"/>
      <c r="M841" s="104"/>
      <c r="N841" s="105"/>
      <c r="O841" s="98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spans="1:27" x14ac:dyDescent="0.25">
      <c r="A842" s="88"/>
      <c r="B842" s="30"/>
      <c r="C842" s="30"/>
      <c r="D842" s="30"/>
      <c r="E842" s="30"/>
      <c r="F842" s="88"/>
      <c r="G842" s="88"/>
      <c r="H842" s="30"/>
      <c r="I842" s="96"/>
      <c r="J842" s="97"/>
      <c r="K842" s="102"/>
      <c r="L842" s="103"/>
      <c r="M842" s="104"/>
      <c r="N842" s="105"/>
      <c r="O842" s="98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spans="1:27" x14ac:dyDescent="0.25">
      <c r="A843" s="88"/>
      <c r="B843" s="30"/>
      <c r="C843" s="30"/>
      <c r="D843" s="30"/>
      <c r="E843" s="30"/>
      <c r="F843" s="88"/>
      <c r="G843" s="88"/>
      <c r="H843" s="30"/>
      <c r="I843" s="96"/>
      <c r="J843" s="97"/>
      <c r="K843" s="102"/>
      <c r="L843" s="103"/>
      <c r="M843" s="104"/>
      <c r="N843" s="105"/>
      <c r="O843" s="98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spans="1:27" x14ac:dyDescent="0.25">
      <c r="A844" s="88"/>
      <c r="B844" s="30"/>
      <c r="C844" s="30"/>
      <c r="D844" s="30"/>
      <c r="E844" s="30"/>
      <c r="F844" s="88"/>
      <c r="G844" s="88"/>
      <c r="H844" s="30"/>
      <c r="I844" s="96"/>
      <c r="J844" s="97"/>
      <c r="K844" s="102"/>
      <c r="L844" s="103"/>
      <c r="M844" s="104"/>
      <c r="N844" s="105"/>
      <c r="O844" s="98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spans="1:27" x14ac:dyDescent="0.25">
      <c r="A845" s="88"/>
      <c r="B845" s="30"/>
      <c r="C845" s="30"/>
      <c r="D845" s="30"/>
      <c r="E845" s="30"/>
      <c r="F845" s="88"/>
      <c r="G845" s="88"/>
      <c r="H845" s="30"/>
      <c r="I845" s="96"/>
      <c r="J845" s="97"/>
      <c r="K845" s="102"/>
      <c r="L845" s="103"/>
      <c r="M845" s="104"/>
      <c r="N845" s="105"/>
      <c r="O845" s="98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spans="1:27" x14ac:dyDescent="0.25">
      <c r="A846" s="88"/>
      <c r="B846" s="30"/>
      <c r="C846" s="30"/>
      <c r="D846" s="30"/>
      <c r="E846" s="30"/>
      <c r="F846" s="88"/>
      <c r="G846" s="88"/>
      <c r="H846" s="30"/>
      <c r="I846" s="96"/>
      <c r="J846" s="97"/>
      <c r="K846" s="102"/>
      <c r="L846" s="103"/>
      <c r="M846" s="104"/>
      <c r="N846" s="105"/>
      <c r="O846" s="98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spans="1:27" x14ac:dyDescent="0.25">
      <c r="A847" s="88"/>
      <c r="B847" s="30"/>
      <c r="C847" s="30"/>
      <c r="D847" s="30"/>
      <c r="E847" s="30"/>
      <c r="F847" s="88"/>
      <c r="G847" s="88"/>
      <c r="H847" s="30"/>
      <c r="I847" s="96"/>
      <c r="J847" s="97"/>
      <c r="K847" s="102"/>
      <c r="L847" s="103"/>
      <c r="M847" s="104"/>
      <c r="N847" s="105"/>
      <c r="O847" s="98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spans="1:27" x14ac:dyDescent="0.25">
      <c r="A848" s="88"/>
      <c r="B848" s="30"/>
      <c r="C848" s="30"/>
      <c r="D848" s="30"/>
      <c r="E848" s="30"/>
      <c r="F848" s="88"/>
      <c r="G848" s="88"/>
      <c r="H848" s="30"/>
      <c r="I848" s="96"/>
      <c r="J848" s="97"/>
      <c r="K848" s="102"/>
      <c r="L848" s="103"/>
      <c r="M848" s="104"/>
      <c r="N848" s="105"/>
      <c r="O848" s="98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spans="1:27" x14ac:dyDescent="0.25">
      <c r="A849" s="88"/>
      <c r="B849" s="30"/>
      <c r="C849" s="30"/>
      <c r="D849" s="30"/>
      <c r="E849" s="30"/>
      <c r="F849" s="88"/>
      <c r="G849" s="88"/>
      <c r="H849" s="30"/>
      <c r="I849" s="96"/>
      <c r="J849" s="97"/>
      <c r="K849" s="102"/>
      <c r="L849" s="103"/>
      <c r="M849" s="104"/>
      <c r="N849" s="105"/>
      <c r="O849" s="98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spans="1:27" x14ac:dyDescent="0.25">
      <c r="A850" s="88"/>
      <c r="B850" s="30"/>
      <c r="C850" s="30"/>
      <c r="D850" s="30"/>
      <c r="E850" s="30"/>
      <c r="F850" s="88"/>
      <c r="G850" s="88"/>
      <c r="H850" s="30"/>
      <c r="I850" s="96"/>
      <c r="J850" s="97"/>
      <c r="K850" s="102"/>
      <c r="L850" s="103"/>
      <c r="M850" s="104"/>
      <c r="N850" s="105"/>
      <c r="O850" s="98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spans="1:27" x14ac:dyDescent="0.25">
      <c r="A851" s="88"/>
      <c r="B851" s="30"/>
      <c r="C851" s="30"/>
      <c r="D851" s="30"/>
      <c r="E851" s="30"/>
      <c r="F851" s="88"/>
      <c r="G851" s="88"/>
      <c r="H851" s="30"/>
      <c r="I851" s="96"/>
      <c r="J851" s="97"/>
      <c r="K851" s="102"/>
      <c r="L851" s="103"/>
      <c r="M851" s="104"/>
      <c r="N851" s="105"/>
      <c r="O851" s="98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spans="1:27" x14ac:dyDescent="0.25">
      <c r="A852" s="88"/>
      <c r="B852" s="30"/>
      <c r="C852" s="30"/>
      <c r="D852" s="30"/>
      <c r="E852" s="30"/>
      <c r="F852" s="88"/>
      <c r="G852" s="88"/>
      <c r="H852" s="30"/>
      <c r="I852" s="96"/>
      <c r="J852" s="97"/>
      <c r="K852" s="102"/>
      <c r="L852" s="103"/>
      <c r="M852" s="104"/>
      <c r="N852" s="105"/>
      <c r="O852" s="98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spans="1:27" x14ac:dyDescent="0.25">
      <c r="A853" s="88"/>
      <c r="B853" s="30"/>
      <c r="C853" s="30"/>
      <c r="D853" s="30"/>
      <c r="E853" s="30"/>
      <c r="F853" s="88"/>
      <c r="G853" s="88"/>
      <c r="H853" s="30"/>
      <c r="I853" s="96"/>
      <c r="J853" s="97"/>
      <c r="K853" s="102"/>
      <c r="L853" s="103"/>
      <c r="M853" s="104"/>
      <c r="N853" s="105"/>
      <c r="O853" s="98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spans="1:27" x14ac:dyDescent="0.25">
      <c r="A854" s="88"/>
      <c r="B854" s="30"/>
      <c r="C854" s="30"/>
      <c r="D854" s="30"/>
      <c r="E854" s="30"/>
      <c r="F854" s="88"/>
      <c r="G854" s="88"/>
      <c r="H854" s="30"/>
      <c r="I854" s="96"/>
      <c r="J854" s="97"/>
      <c r="K854" s="102"/>
      <c r="L854" s="103"/>
      <c r="M854" s="104"/>
      <c r="N854" s="105"/>
      <c r="O854" s="98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spans="1:27" x14ac:dyDescent="0.25">
      <c r="A855" s="88"/>
      <c r="B855" s="30"/>
      <c r="C855" s="30"/>
      <c r="D855" s="30"/>
      <c r="E855" s="30"/>
      <c r="F855" s="88"/>
      <c r="G855" s="88"/>
      <c r="H855" s="30"/>
      <c r="I855" s="96"/>
      <c r="J855" s="97"/>
      <c r="K855" s="102"/>
      <c r="L855" s="103"/>
      <c r="M855" s="104"/>
      <c r="N855" s="105"/>
      <c r="O855" s="98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spans="1:27" x14ac:dyDescent="0.25">
      <c r="A856" s="88"/>
      <c r="B856" s="30"/>
      <c r="C856" s="30"/>
      <c r="D856" s="30"/>
      <c r="E856" s="30"/>
      <c r="F856" s="88"/>
      <c r="G856" s="88"/>
      <c r="H856" s="30"/>
      <c r="I856" s="96"/>
      <c r="J856" s="97"/>
      <c r="K856" s="102"/>
      <c r="L856" s="103"/>
      <c r="M856" s="104"/>
      <c r="N856" s="105"/>
      <c r="O856" s="98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spans="1:27" x14ac:dyDescent="0.25">
      <c r="A857" s="88"/>
      <c r="B857" s="30"/>
      <c r="C857" s="30"/>
      <c r="D857" s="30"/>
      <c r="E857" s="30"/>
      <c r="F857" s="88"/>
      <c r="G857" s="88"/>
      <c r="H857" s="30"/>
      <c r="I857" s="96"/>
      <c r="J857" s="97"/>
      <c r="K857" s="102"/>
      <c r="L857" s="103"/>
      <c r="M857" s="104"/>
      <c r="N857" s="105"/>
      <c r="O857" s="98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spans="1:27" x14ac:dyDescent="0.25">
      <c r="A858" s="88"/>
      <c r="B858" s="30"/>
      <c r="C858" s="30"/>
      <c r="D858" s="30"/>
      <c r="E858" s="30"/>
      <c r="F858" s="88"/>
      <c r="G858" s="88"/>
      <c r="H858" s="30"/>
      <c r="I858" s="96"/>
      <c r="J858" s="97"/>
      <c r="K858" s="102"/>
      <c r="L858" s="103"/>
      <c r="M858" s="104"/>
      <c r="N858" s="105"/>
      <c r="O858" s="98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spans="1:27" x14ac:dyDescent="0.25">
      <c r="A859" s="88"/>
      <c r="B859" s="30"/>
      <c r="C859" s="30"/>
      <c r="D859" s="30"/>
      <c r="E859" s="30"/>
      <c r="F859" s="88"/>
      <c r="G859" s="88"/>
      <c r="H859" s="30"/>
      <c r="I859" s="96"/>
      <c r="J859" s="97"/>
      <c r="K859" s="102"/>
      <c r="L859" s="103"/>
      <c r="M859" s="104"/>
      <c r="N859" s="105"/>
      <c r="O859" s="98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spans="1:27" x14ac:dyDescent="0.25">
      <c r="A860" s="88"/>
      <c r="B860" s="30"/>
      <c r="C860" s="30"/>
      <c r="D860" s="30"/>
      <c r="E860" s="30"/>
      <c r="F860" s="88"/>
      <c r="G860" s="88"/>
      <c r="H860" s="30"/>
      <c r="I860" s="96"/>
      <c r="J860" s="97"/>
      <c r="K860" s="102"/>
      <c r="L860" s="103"/>
      <c r="M860" s="104"/>
      <c r="N860" s="105"/>
      <c r="O860" s="98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spans="1:27" x14ac:dyDescent="0.25">
      <c r="A861" s="88"/>
      <c r="B861" s="30"/>
      <c r="C861" s="30"/>
      <c r="D861" s="30"/>
      <c r="E861" s="30"/>
      <c r="F861" s="88"/>
      <c r="G861" s="88"/>
      <c r="H861" s="30"/>
      <c r="I861" s="96"/>
      <c r="J861" s="97"/>
      <c r="K861" s="102"/>
      <c r="L861" s="103"/>
      <c r="M861" s="104"/>
      <c r="N861" s="105"/>
      <c r="O861" s="98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spans="1:27" x14ac:dyDescent="0.25">
      <c r="A862" s="88"/>
      <c r="B862" s="30"/>
      <c r="C862" s="30"/>
      <c r="D862" s="30"/>
      <c r="E862" s="30"/>
      <c r="F862" s="88"/>
      <c r="G862" s="88"/>
      <c r="H862" s="30"/>
      <c r="I862" s="96"/>
      <c r="J862" s="97"/>
      <c r="K862" s="102"/>
      <c r="L862" s="103"/>
      <c r="M862" s="104"/>
      <c r="N862" s="105"/>
      <c r="O862" s="98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spans="1:27" x14ac:dyDescent="0.25">
      <c r="A863" s="88"/>
      <c r="B863" s="30"/>
      <c r="C863" s="30"/>
      <c r="D863" s="30"/>
      <c r="E863" s="30"/>
      <c r="F863" s="88"/>
      <c r="G863" s="88"/>
      <c r="H863" s="30"/>
      <c r="I863" s="96"/>
      <c r="J863" s="97"/>
      <c r="K863" s="102"/>
      <c r="L863" s="103"/>
      <c r="M863" s="104"/>
      <c r="N863" s="105"/>
      <c r="O863" s="98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spans="1:27" x14ac:dyDescent="0.25">
      <c r="A864" s="88"/>
      <c r="B864" s="30"/>
      <c r="C864" s="30"/>
      <c r="D864" s="30"/>
      <c r="E864" s="30"/>
      <c r="F864" s="88"/>
      <c r="G864" s="88"/>
      <c r="H864" s="30"/>
      <c r="I864" s="96"/>
      <c r="J864" s="97"/>
      <c r="K864" s="102"/>
      <c r="L864" s="103"/>
      <c r="M864" s="104"/>
      <c r="N864" s="105"/>
      <c r="O864" s="98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spans="1:27" x14ac:dyDescent="0.25">
      <c r="A865" s="88"/>
      <c r="B865" s="30"/>
      <c r="C865" s="30"/>
      <c r="D865" s="30"/>
      <c r="E865" s="30"/>
      <c r="F865" s="88"/>
      <c r="G865" s="88"/>
      <c r="H865" s="30"/>
      <c r="I865" s="96"/>
      <c r="J865" s="97"/>
      <c r="K865" s="102"/>
      <c r="L865" s="103"/>
      <c r="M865" s="104"/>
      <c r="N865" s="105"/>
      <c r="O865" s="98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spans="1:27" x14ac:dyDescent="0.25">
      <c r="A866" s="88"/>
      <c r="B866" s="30"/>
      <c r="C866" s="30"/>
      <c r="D866" s="30"/>
      <c r="E866" s="30"/>
      <c r="F866" s="88"/>
      <c r="G866" s="88"/>
      <c r="H866" s="30"/>
      <c r="I866" s="96"/>
      <c r="J866" s="97"/>
      <c r="K866" s="102"/>
      <c r="L866" s="103"/>
      <c r="M866" s="104"/>
      <c r="N866" s="105"/>
      <c r="O866" s="98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spans="1:27" x14ac:dyDescent="0.25">
      <c r="A867" s="88"/>
      <c r="B867" s="30"/>
      <c r="C867" s="30"/>
      <c r="D867" s="30"/>
      <c r="E867" s="30"/>
      <c r="F867" s="88"/>
      <c r="G867" s="88"/>
      <c r="H867" s="30"/>
      <c r="I867" s="96"/>
      <c r="J867" s="97"/>
      <c r="K867" s="102"/>
      <c r="L867" s="103"/>
      <c r="M867" s="104"/>
      <c r="N867" s="105"/>
      <c r="O867" s="98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spans="1:27" x14ac:dyDescent="0.25">
      <c r="A868" s="88"/>
      <c r="B868" s="30"/>
      <c r="C868" s="30"/>
      <c r="D868" s="30"/>
      <c r="E868" s="30"/>
      <c r="F868" s="88"/>
      <c r="G868" s="88"/>
      <c r="H868" s="30"/>
      <c r="I868" s="96"/>
      <c r="J868" s="97"/>
      <c r="K868" s="102"/>
      <c r="L868" s="103"/>
      <c r="M868" s="104"/>
      <c r="N868" s="105"/>
      <c r="O868" s="98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spans="1:27" x14ac:dyDescent="0.25">
      <c r="A869" s="88"/>
      <c r="B869" s="30"/>
      <c r="C869" s="30"/>
      <c r="D869" s="30"/>
      <c r="E869" s="30"/>
      <c r="F869" s="88"/>
      <c r="G869" s="88"/>
      <c r="H869" s="30"/>
      <c r="I869" s="96"/>
      <c r="J869" s="97"/>
      <c r="K869" s="102"/>
      <c r="L869" s="103"/>
      <c r="M869" s="104"/>
      <c r="N869" s="105"/>
      <c r="O869" s="98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spans="1:27" x14ac:dyDescent="0.25">
      <c r="A870" s="88"/>
      <c r="B870" s="30"/>
      <c r="C870" s="30"/>
      <c r="D870" s="30"/>
      <c r="E870" s="30"/>
      <c r="F870" s="88"/>
      <c r="G870" s="88"/>
      <c r="H870" s="30"/>
      <c r="I870" s="96"/>
      <c r="J870" s="97"/>
      <c r="K870" s="102"/>
      <c r="L870" s="103"/>
      <c r="M870" s="104"/>
      <c r="N870" s="105"/>
      <c r="O870" s="98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spans="1:27" x14ac:dyDescent="0.25">
      <c r="A871" s="88"/>
      <c r="B871" s="30"/>
      <c r="C871" s="30"/>
      <c r="D871" s="30"/>
      <c r="E871" s="30"/>
      <c r="F871" s="88"/>
      <c r="G871" s="88"/>
      <c r="H871" s="30"/>
      <c r="I871" s="96"/>
      <c r="J871" s="97"/>
      <c r="K871" s="102"/>
      <c r="L871" s="103"/>
      <c r="M871" s="104"/>
      <c r="N871" s="105"/>
      <c r="O871" s="98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spans="1:27" x14ac:dyDescent="0.25">
      <c r="A872" s="88"/>
      <c r="B872" s="30"/>
      <c r="C872" s="30"/>
      <c r="D872" s="30"/>
      <c r="E872" s="30"/>
      <c r="F872" s="88"/>
      <c r="G872" s="88"/>
      <c r="H872" s="30"/>
      <c r="I872" s="96"/>
      <c r="J872" s="97"/>
      <c r="K872" s="102"/>
      <c r="L872" s="103"/>
      <c r="M872" s="104"/>
      <c r="N872" s="105"/>
      <c r="O872" s="98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spans="1:27" x14ac:dyDescent="0.25">
      <c r="A873" s="88"/>
      <c r="B873" s="30"/>
      <c r="C873" s="30"/>
      <c r="D873" s="30"/>
      <c r="E873" s="30"/>
      <c r="F873" s="88"/>
      <c r="G873" s="88"/>
      <c r="H873" s="30"/>
      <c r="I873" s="96"/>
      <c r="J873" s="97"/>
      <c r="K873" s="102"/>
      <c r="L873" s="103"/>
      <c r="M873" s="104"/>
      <c r="N873" s="105"/>
      <c r="O873" s="98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spans="1:27" x14ac:dyDescent="0.25">
      <c r="A874" s="88"/>
      <c r="B874" s="30"/>
      <c r="C874" s="30"/>
      <c r="D874" s="30"/>
      <c r="E874" s="30"/>
      <c r="F874" s="88"/>
      <c r="G874" s="88"/>
      <c r="H874" s="30"/>
      <c r="I874" s="96"/>
      <c r="J874" s="97"/>
      <c r="K874" s="102"/>
      <c r="L874" s="103"/>
      <c r="M874" s="104"/>
      <c r="N874" s="105"/>
      <c r="O874" s="98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spans="1:27" x14ac:dyDescent="0.25">
      <c r="A875" s="88"/>
      <c r="B875" s="30"/>
      <c r="C875" s="30"/>
      <c r="D875" s="30"/>
      <c r="E875" s="30"/>
      <c r="F875" s="88"/>
      <c r="G875" s="88"/>
      <c r="H875" s="30"/>
      <c r="I875" s="96"/>
      <c r="J875" s="97"/>
      <c r="K875" s="102"/>
      <c r="L875" s="103"/>
      <c r="M875" s="104"/>
      <c r="N875" s="105"/>
      <c r="O875" s="98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spans="1:27" x14ac:dyDescent="0.25">
      <c r="A876" s="88"/>
      <c r="B876" s="30"/>
      <c r="C876" s="30"/>
      <c r="D876" s="30"/>
      <c r="E876" s="30"/>
      <c r="F876" s="88"/>
      <c r="G876" s="88"/>
      <c r="H876" s="30"/>
      <c r="I876" s="96"/>
      <c r="J876" s="97"/>
      <c r="K876" s="102"/>
      <c r="L876" s="103"/>
      <c r="M876" s="104"/>
      <c r="N876" s="105"/>
      <c r="O876" s="98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spans="1:27" x14ac:dyDescent="0.25">
      <c r="A877" s="88"/>
      <c r="B877" s="30"/>
      <c r="C877" s="30"/>
      <c r="D877" s="30"/>
      <c r="E877" s="30"/>
      <c r="F877" s="88"/>
      <c r="G877" s="88"/>
      <c r="H877" s="30"/>
      <c r="I877" s="96"/>
      <c r="J877" s="97"/>
      <c r="K877" s="102"/>
      <c r="L877" s="103"/>
      <c r="M877" s="104"/>
      <c r="N877" s="105"/>
      <c r="O877" s="98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spans="1:27" x14ac:dyDescent="0.25">
      <c r="A878" s="88"/>
      <c r="B878" s="30"/>
      <c r="C878" s="30"/>
      <c r="D878" s="30"/>
      <c r="E878" s="30"/>
      <c r="F878" s="88"/>
      <c r="G878" s="88"/>
      <c r="H878" s="30"/>
      <c r="I878" s="96"/>
      <c r="J878" s="97"/>
      <c r="K878" s="102"/>
      <c r="L878" s="103"/>
      <c r="M878" s="104"/>
      <c r="N878" s="105"/>
      <c r="O878" s="98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spans="1:27" x14ac:dyDescent="0.25">
      <c r="A879" s="88"/>
      <c r="B879" s="30"/>
      <c r="C879" s="30"/>
      <c r="D879" s="30"/>
      <c r="E879" s="30"/>
      <c r="F879" s="88"/>
      <c r="G879" s="88"/>
      <c r="H879" s="30"/>
      <c r="I879" s="96"/>
      <c r="J879" s="97"/>
      <c r="K879" s="102"/>
      <c r="L879" s="103"/>
      <c r="M879" s="104"/>
      <c r="N879" s="105"/>
      <c r="O879" s="98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spans="1:27" x14ac:dyDescent="0.25">
      <c r="A880" s="88"/>
      <c r="B880" s="30"/>
      <c r="C880" s="30"/>
      <c r="D880" s="30"/>
      <c r="E880" s="30"/>
      <c r="F880" s="88"/>
      <c r="G880" s="88"/>
      <c r="H880" s="30"/>
      <c r="I880" s="96"/>
      <c r="J880" s="97"/>
      <c r="K880" s="102"/>
      <c r="L880" s="103"/>
      <c r="M880" s="104"/>
      <c r="N880" s="105"/>
      <c r="O880" s="98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spans="1:27" x14ac:dyDescent="0.25">
      <c r="A881" s="88"/>
      <c r="B881" s="30"/>
      <c r="C881" s="30"/>
      <c r="D881" s="30"/>
      <c r="E881" s="30"/>
      <c r="F881" s="88"/>
      <c r="G881" s="88"/>
      <c r="H881" s="30"/>
      <c r="I881" s="96"/>
      <c r="J881" s="97"/>
      <c r="K881" s="102"/>
      <c r="L881" s="103"/>
      <c r="M881" s="104"/>
      <c r="N881" s="105"/>
      <c r="O881" s="98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spans="1:27" x14ac:dyDescent="0.25">
      <c r="A882" s="88"/>
      <c r="B882" s="30"/>
      <c r="C882" s="30"/>
      <c r="D882" s="30"/>
      <c r="E882" s="30"/>
      <c r="F882" s="88"/>
      <c r="G882" s="88"/>
      <c r="H882" s="30"/>
      <c r="I882" s="96"/>
      <c r="J882" s="97"/>
      <c r="K882" s="102"/>
      <c r="L882" s="103"/>
      <c r="M882" s="104"/>
      <c r="N882" s="105"/>
      <c r="O882" s="98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spans="1:27" x14ac:dyDescent="0.25">
      <c r="A883" s="88"/>
      <c r="B883" s="30"/>
      <c r="C883" s="30"/>
      <c r="D883" s="30"/>
      <c r="E883" s="30"/>
      <c r="F883" s="88"/>
      <c r="G883" s="88"/>
      <c r="H883" s="30"/>
      <c r="I883" s="96"/>
      <c r="J883" s="97"/>
      <c r="K883" s="102"/>
      <c r="L883" s="103"/>
      <c r="M883" s="104"/>
      <c r="N883" s="105"/>
      <c r="O883" s="98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spans="1:27" x14ac:dyDescent="0.25">
      <c r="A884" s="88"/>
      <c r="B884" s="30"/>
      <c r="C884" s="30"/>
      <c r="D884" s="30"/>
      <c r="E884" s="30"/>
      <c r="F884" s="88"/>
      <c r="G884" s="88"/>
      <c r="H884" s="30"/>
      <c r="I884" s="96"/>
      <c r="J884" s="97"/>
      <c r="K884" s="102"/>
      <c r="L884" s="103"/>
      <c r="M884" s="104"/>
      <c r="N884" s="105"/>
      <c r="O884" s="98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spans="1:27" x14ac:dyDescent="0.25">
      <c r="A885" s="88"/>
      <c r="B885" s="30"/>
      <c r="C885" s="30"/>
      <c r="D885" s="30"/>
      <c r="E885" s="30"/>
      <c r="F885" s="88"/>
      <c r="G885" s="88"/>
      <c r="H885" s="30"/>
      <c r="I885" s="96"/>
      <c r="J885" s="97"/>
      <c r="K885" s="102"/>
      <c r="L885" s="103"/>
      <c r="M885" s="104"/>
      <c r="N885" s="105"/>
      <c r="O885" s="98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spans="1:27" x14ac:dyDescent="0.25">
      <c r="A886" s="88"/>
      <c r="B886" s="30"/>
      <c r="C886" s="30"/>
      <c r="D886" s="30"/>
      <c r="E886" s="30"/>
      <c r="F886" s="88"/>
      <c r="G886" s="88"/>
      <c r="H886" s="30"/>
      <c r="I886" s="96"/>
      <c r="J886" s="97"/>
      <c r="K886" s="102"/>
      <c r="L886" s="103"/>
      <c r="M886" s="104"/>
      <c r="N886" s="105"/>
      <c r="O886" s="98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spans="1:27" x14ac:dyDescent="0.25">
      <c r="A887" s="88"/>
      <c r="B887" s="30"/>
      <c r="C887" s="30"/>
      <c r="D887" s="30"/>
      <c r="E887" s="30"/>
      <c r="F887" s="88"/>
      <c r="G887" s="88"/>
      <c r="H887" s="30"/>
      <c r="I887" s="96"/>
      <c r="J887" s="97"/>
      <c r="K887" s="102"/>
      <c r="L887" s="103"/>
      <c r="M887" s="104"/>
      <c r="N887" s="105"/>
      <c r="O887" s="98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spans="1:27" x14ac:dyDescent="0.25">
      <c r="A888" s="88"/>
      <c r="B888" s="30"/>
      <c r="C888" s="30"/>
      <c r="D888" s="30"/>
      <c r="E888" s="30"/>
      <c r="F888" s="88"/>
      <c r="G888" s="88"/>
      <c r="H888" s="30"/>
      <c r="I888" s="96"/>
      <c r="J888" s="97"/>
      <c r="K888" s="102"/>
      <c r="L888" s="103"/>
      <c r="M888" s="104"/>
      <c r="N888" s="105"/>
      <c r="O888" s="98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spans="1:27" x14ac:dyDescent="0.25">
      <c r="A889" s="88"/>
      <c r="B889" s="30"/>
      <c r="C889" s="30"/>
      <c r="D889" s="30"/>
      <c r="E889" s="30"/>
      <c r="F889" s="88"/>
      <c r="G889" s="88"/>
      <c r="H889" s="30"/>
      <c r="I889" s="96"/>
      <c r="J889" s="97"/>
      <c r="K889" s="102"/>
      <c r="L889" s="103"/>
      <c r="M889" s="104"/>
      <c r="N889" s="105"/>
      <c r="O889" s="98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spans="1:27" x14ac:dyDescent="0.25">
      <c r="A890" s="88"/>
      <c r="B890" s="30"/>
      <c r="C890" s="30"/>
      <c r="D890" s="30"/>
      <c r="E890" s="30"/>
      <c r="F890" s="88"/>
      <c r="G890" s="88"/>
      <c r="H890" s="30"/>
      <c r="I890" s="96"/>
      <c r="J890" s="97"/>
      <c r="K890" s="102"/>
      <c r="L890" s="103"/>
      <c r="M890" s="104"/>
      <c r="N890" s="105"/>
      <c r="O890" s="98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spans="1:27" x14ac:dyDescent="0.25">
      <c r="A891" s="88"/>
      <c r="B891" s="30"/>
      <c r="C891" s="30"/>
      <c r="D891" s="30"/>
      <c r="E891" s="30"/>
      <c r="F891" s="88"/>
      <c r="G891" s="88"/>
      <c r="H891" s="30"/>
      <c r="I891" s="96"/>
      <c r="J891" s="97"/>
      <c r="K891" s="102"/>
      <c r="L891" s="103"/>
      <c r="M891" s="104"/>
      <c r="N891" s="105"/>
      <c r="O891" s="98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spans="1:27" x14ac:dyDescent="0.25">
      <c r="A892" s="88"/>
      <c r="B892" s="30"/>
      <c r="C892" s="30"/>
      <c r="D892" s="30"/>
      <c r="E892" s="30"/>
      <c r="F892" s="88"/>
      <c r="G892" s="88"/>
      <c r="H892" s="30"/>
      <c r="I892" s="96"/>
      <c r="J892" s="97"/>
      <c r="K892" s="102"/>
      <c r="L892" s="103"/>
      <c r="M892" s="104"/>
      <c r="N892" s="105"/>
      <c r="O892" s="98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spans="1:27" x14ac:dyDescent="0.25">
      <c r="A893" s="88"/>
      <c r="B893" s="30"/>
      <c r="C893" s="30"/>
      <c r="D893" s="30"/>
      <c r="E893" s="30"/>
      <c r="F893" s="88"/>
      <c r="G893" s="88"/>
      <c r="H893" s="30"/>
      <c r="I893" s="96"/>
      <c r="J893" s="97"/>
      <c r="K893" s="102"/>
      <c r="L893" s="103"/>
      <c r="M893" s="104"/>
      <c r="N893" s="105"/>
      <c r="O893" s="98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spans="1:27" x14ac:dyDescent="0.25">
      <c r="A894" s="88"/>
      <c r="B894" s="30"/>
      <c r="C894" s="30"/>
      <c r="D894" s="30"/>
      <c r="E894" s="30"/>
      <c r="F894" s="88"/>
      <c r="G894" s="88"/>
      <c r="H894" s="30"/>
      <c r="I894" s="96"/>
      <c r="J894" s="97"/>
      <c r="K894" s="102"/>
      <c r="L894" s="103"/>
      <c r="M894" s="104"/>
      <c r="N894" s="105"/>
      <c r="O894" s="98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spans="1:27" x14ac:dyDescent="0.25">
      <c r="A895" s="88"/>
      <c r="B895" s="30"/>
      <c r="C895" s="30"/>
      <c r="D895" s="30"/>
      <c r="E895" s="30"/>
      <c r="F895" s="88"/>
      <c r="G895" s="88"/>
      <c r="H895" s="30"/>
      <c r="I895" s="96"/>
      <c r="J895" s="97"/>
      <c r="K895" s="102"/>
      <c r="L895" s="103"/>
      <c r="M895" s="104"/>
      <c r="N895" s="105"/>
      <c r="O895" s="98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spans="1:27" x14ac:dyDescent="0.25">
      <c r="A896" s="88"/>
      <c r="B896" s="30"/>
      <c r="C896" s="30"/>
      <c r="D896" s="30"/>
      <c r="E896" s="30"/>
      <c r="F896" s="88"/>
      <c r="G896" s="88"/>
      <c r="H896" s="30"/>
      <c r="I896" s="96"/>
      <c r="J896" s="97"/>
      <c r="K896" s="102"/>
      <c r="L896" s="103"/>
      <c r="M896" s="104"/>
      <c r="N896" s="105"/>
      <c r="O896" s="98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spans="1:27" x14ac:dyDescent="0.25">
      <c r="A897" s="88"/>
      <c r="B897" s="30"/>
      <c r="C897" s="30"/>
      <c r="D897" s="30"/>
      <c r="E897" s="30"/>
      <c r="F897" s="88"/>
      <c r="G897" s="88"/>
      <c r="H897" s="30"/>
      <c r="I897" s="96"/>
      <c r="J897" s="97"/>
      <c r="K897" s="102"/>
      <c r="L897" s="103"/>
      <c r="M897" s="104"/>
      <c r="N897" s="105"/>
      <c r="O897" s="98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spans="1:27" x14ac:dyDescent="0.25">
      <c r="A898" s="88"/>
      <c r="B898" s="30"/>
      <c r="C898" s="30"/>
      <c r="D898" s="30"/>
      <c r="E898" s="30"/>
      <c r="F898" s="88"/>
      <c r="G898" s="88"/>
      <c r="H898" s="30"/>
      <c r="I898" s="96"/>
      <c r="J898" s="97"/>
      <c r="K898" s="102"/>
      <c r="L898" s="103"/>
      <c r="M898" s="104"/>
      <c r="N898" s="105"/>
      <c r="O898" s="98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spans="1:27" x14ac:dyDescent="0.25">
      <c r="A899" s="88"/>
      <c r="B899" s="30"/>
      <c r="C899" s="30"/>
      <c r="D899" s="30"/>
      <c r="E899" s="30"/>
      <c r="F899" s="88"/>
      <c r="G899" s="88"/>
      <c r="H899" s="30"/>
      <c r="I899" s="96"/>
      <c r="J899" s="97"/>
      <c r="K899" s="102"/>
      <c r="L899" s="103"/>
      <c r="M899" s="104"/>
      <c r="N899" s="105"/>
      <c r="O899" s="98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spans="1:27" x14ac:dyDescent="0.25">
      <c r="A900" s="88"/>
      <c r="B900" s="30"/>
      <c r="C900" s="30"/>
      <c r="D900" s="30"/>
      <c r="E900" s="30"/>
      <c r="F900" s="88"/>
      <c r="G900" s="88"/>
      <c r="H900" s="30"/>
      <c r="I900" s="96"/>
      <c r="J900" s="97"/>
      <c r="K900" s="102"/>
      <c r="L900" s="103"/>
      <c r="M900" s="104"/>
      <c r="N900" s="105"/>
      <c r="O900" s="98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spans="1:27" x14ac:dyDescent="0.25">
      <c r="A901" s="88"/>
      <c r="B901" s="30"/>
      <c r="C901" s="30"/>
      <c r="D901" s="30"/>
      <c r="E901" s="30"/>
      <c r="F901" s="88"/>
      <c r="G901" s="88"/>
      <c r="H901" s="30"/>
      <c r="I901" s="96"/>
      <c r="J901" s="97"/>
      <c r="K901" s="102"/>
      <c r="L901" s="103"/>
      <c r="M901" s="104"/>
      <c r="N901" s="105"/>
      <c r="O901" s="98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spans="1:27" x14ac:dyDescent="0.25">
      <c r="A902" s="88"/>
      <c r="B902" s="30"/>
      <c r="C902" s="30"/>
      <c r="D902" s="30"/>
      <c r="E902" s="30"/>
      <c r="F902" s="88"/>
      <c r="G902" s="88"/>
      <c r="H902" s="30"/>
      <c r="I902" s="96"/>
      <c r="J902" s="97"/>
      <c r="K902" s="102"/>
      <c r="L902" s="103"/>
      <c r="M902" s="104"/>
      <c r="N902" s="105"/>
      <c r="O902" s="98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spans="1:27" x14ac:dyDescent="0.25">
      <c r="A903" s="88"/>
      <c r="B903" s="30"/>
      <c r="C903" s="30"/>
      <c r="D903" s="30"/>
      <c r="E903" s="30"/>
      <c r="F903" s="88"/>
      <c r="G903" s="88"/>
      <c r="H903" s="30"/>
      <c r="I903" s="96"/>
      <c r="J903" s="97"/>
      <c r="K903" s="102"/>
      <c r="L903" s="103"/>
      <c r="M903" s="104"/>
      <c r="N903" s="105"/>
      <c r="O903" s="98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spans="1:27" x14ac:dyDescent="0.25">
      <c r="A904" s="88"/>
      <c r="B904" s="30"/>
      <c r="C904" s="30"/>
      <c r="D904" s="30"/>
      <c r="E904" s="30"/>
      <c r="F904" s="88"/>
      <c r="G904" s="88"/>
      <c r="H904" s="30"/>
      <c r="I904" s="96"/>
      <c r="J904" s="97"/>
      <c r="K904" s="102"/>
      <c r="L904" s="103"/>
      <c r="M904" s="104"/>
      <c r="N904" s="105"/>
      <c r="O904" s="98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spans="1:27" x14ac:dyDescent="0.25">
      <c r="A905" s="88"/>
      <c r="B905" s="30"/>
      <c r="C905" s="30"/>
      <c r="D905" s="30"/>
      <c r="E905" s="30"/>
      <c r="F905" s="88"/>
      <c r="G905" s="88"/>
      <c r="H905" s="30"/>
      <c r="I905" s="96"/>
      <c r="J905" s="97"/>
      <c r="K905" s="102"/>
      <c r="L905" s="103"/>
      <c r="M905" s="104"/>
      <c r="N905" s="105"/>
      <c r="O905" s="98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spans="1:27" x14ac:dyDescent="0.25">
      <c r="A906" s="88"/>
      <c r="B906" s="30"/>
      <c r="C906" s="30"/>
      <c r="D906" s="30"/>
      <c r="E906" s="30"/>
      <c r="F906" s="88"/>
      <c r="G906" s="88"/>
      <c r="H906" s="30"/>
      <c r="I906" s="96"/>
      <c r="J906" s="97"/>
      <c r="K906" s="102"/>
      <c r="L906" s="103"/>
      <c r="M906" s="104"/>
      <c r="N906" s="105"/>
      <c r="O906" s="98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spans="1:27" x14ac:dyDescent="0.25">
      <c r="A907" s="88"/>
      <c r="B907" s="30"/>
      <c r="C907" s="30"/>
      <c r="D907" s="30"/>
      <c r="E907" s="30"/>
      <c r="F907" s="88"/>
      <c r="G907" s="88"/>
      <c r="H907" s="30"/>
      <c r="I907" s="96"/>
      <c r="J907" s="97"/>
      <c r="K907" s="102"/>
      <c r="L907" s="103"/>
      <c r="M907" s="104"/>
      <c r="N907" s="105"/>
      <c r="O907" s="98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spans="1:27" x14ac:dyDescent="0.25">
      <c r="A908" s="88"/>
      <c r="B908" s="30"/>
      <c r="C908" s="30"/>
      <c r="D908" s="30"/>
      <c r="E908" s="30"/>
      <c r="F908" s="88"/>
      <c r="G908" s="88"/>
      <c r="H908" s="30"/>
      <c r="I908" s="96"/>
      <c r="J908" s="97"/>
      <c r="K908" s="102"/>
      <c r="L908" s="103"/>
      <c r="M908" s="104"/>
      <c r="N908" s="105"/>
      <c r="O908" s="98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spans="1:27" x14ac:dyDescent="0.25">
      <c r="A909" s="88"/>
      <c r="B909" s="30"/>
      <c r="C909" s="30"/>
      <c r="D909" s="30"/>
      <c r="E909" s="30"/>
      <c r="F909" s="88"/>
      <c r="G909" s="88"/>
      <c r="H909" s="30"/>
      <c r="I909" s="96"/>
      <c r="J909" s="97"/>
      <c r="K909" s="102"/>
      <c r="L909" s="103"/>
      <c r="M909" s="104"/>
      <c r="N909" s="105"/>
      <c r="O909" s="98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spans="1:27" x14ac:dyDescent="0.25">
      <c r="A910" s="88"/>
      <c r="B910" s="30"/>
      <c r="C910" s="30"/>
      <c r="D910" s="30"/>
      <c r="E910" s="30"/>
      <c r="F910" s="88"/>
      <c r="G910" s="88"/>
      <c r="H910" s="30"/>
      <c r="I910" s="96"/>
      <c r="J910" s="97"/>
      <c r="K910" s="102"/>
      <c r="L910" s="103"/>
      <c r="M910" s="104"/>
      <c r="N910" s="105"/>
      <c r="O910" s="98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spans="1:27" x14ac:dyDescent="0.25">
      <c r="A911" s="88"/>
      <c r="B911" s="30"/>
      <c r="C911" s="30"/>
      <c r="D911" s="30"/>
      <c r="E911" s="30"/>
      <c r="F911" s="88"/>
      <c r="G911" s="88"/>
      <c r="H911" s="30"/>
      <c r="I911" s="96"/>
      <c r="J911" s="97"/>
      <c r="K911" s="102"/>
      <c r="L911" s="103"/>
      <c r="M911" s="104"/>
      <c r="N911" s="105"/>
      <c r="O911" s="98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spans="1:27" x14ac:dyDescent="0.25">
      <c r="A912" s="88"/>
      <c r="B912" s="30"/>
      <c r="C912" s="30"/>
      <c r="D912" s="30"/>
      <c r="E912" s="30"/>
      <c r="F912" s="88"/>
      <c r="G912" s="88"/>
      <c r="H912" s="30"/>
      <c r="I912" s="96"/>
      <c r="J912" s="97"/>
      <c r="K912" s="102"/>
      <c r="L912" s="103"/>
      <c r="M912" s="104"/>
      <c r="N912" s="105"/>
      <c r="O912" s="98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spans="1:27" x14ac:dyDescent="0.25">
      <c r="A913" s="88"/>
      <c r="B913" s="30"/>
      <c r="C913" s="30"/>
      <c r="D913" s="30"/>
      <c r="E913" s="30"/>
      <c r="F913" s="88"/>
      <c r="G913" s="88"/>
      <c r="H913" s="30"/>
      <c r="I913" s="96"/>
      <c r="J913" s="97"/>
      <c r="K913" s="102"/>
      <c r="L913" s="103"/>
      <c r="M913" s="104"/>
      <c r="N913" s="105"/>
      <c r="O913" s="98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spans="1:27" x14ac:dyDescent="0.25">
      <c r="A914" s="88"/>
      <c r="B914" s="30"/>
      <c r="C914" s="30"/>
      <c r="D914" s="30"/>
      <c r="E914" s="30"/>
      <c r="F914" s="88"/>
      <c r="G914" s="88"/>
      <c r="H914" s="30"/>
      <c r="I914" s="96"/>
      <c r="J914" s="97"/>
      <c r="K914" s="102"/>
      <c r="L914" s="103"/>
      <c r="M914" s="104"/>
      <c r="N914" s="105"/>
      <c r="O914" s="98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spans="1:27" x14ac:dyDescent="0.25">
      <c r="A915" s="88"/>
      <c r="B915" s="30"/>
      <c r="C915" s="30"/>
      <c r="D915" s="30"/>
      <c r="E915" s="30"/>
      <c r="F915" s="88"/>
      <c r="G915" s="88"/>
      <c r="H915" s="30"/>
      <c r="I915" s="96"/>
      <c r="J915" s="97"/>
      <c r="K915" s="102"/>
      <c r="L915" s="103"/>
      <c r="M915" s="104"/>
      <c r="N915" s="105"/>
      <c r="O915" s="98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spans="1:27" x14ac:dyDescent="0.25">
      <c r="A916" s="88"/>
      <c r="B916" s="30"/>
      <c r="C916" s="30"/>
      <c r="D916" s="30"/>
      <c r="E916" s="30"/>
      <c r="F916" s="88"/>
      <c r="G916" s="88"/>
      <c r="H916" s="30"/>
      <c r="I916" s="96"/>
      <c r="J916" s="97"/>
      <c r="K916" s="102"/>
      <c r="L916" s="103"/>
      <c r="M916" s="104"/>
      <c r="N916" s="105"/>
      <c r="O916" s="98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spans="1:27" x14ac:dyDescent="0.25">
      <c r="A917" s="88"/>
      <c r="B917" s="30"/>
      <c r="C917" s="30"/>
      <c r="D917" s="30"/>
      <c r="E917" s="30"/>
      <c r="F917" s="88"/>
      <c r="G917" s="88"/>
      <c r="H917" s="30"/>
      <c r="I917" s="96"/>
      <c r="J917" s="97"/>
      <c r="K917" s="102"/>
      <c r="L917" s="103"/>
      <c r="M917" s="104"/>
      <c r="N917" s="105"/>
      <c r="O917" s="98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spans="1:27" x14ac:dyDescent="0.25">
      <c r="A918" s="88"/>
      <c r="B918" s="30"/>
      <c r="C918" s="30"/>
      <c r="D918" s="30"/>
      <c r="E918" s="30"/>
      <c r="F918" s="88"/>
      <c r="G918" s="88"/>
      <c r="H918" s="30"/>
      <c r="I918" s="96"/>
      <c r="J918" s="97"/>
      <c r="K918" s="102"/>
      <c r="L918" s="103"/>
      <c r="M918" s="104"/>
      <c r="N918" s="105"/>
      <c r="O918" s="98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spans="1:27" x14ac:dyDescent="0.25">
      <c r="A919" s="88"/>
      <c r="B919" s="30"/>
      <c r="C919" s="30"/>
      <c r="D919" s="30"/>
      <c r="E919" s="30"/>
      <c r="F919" s="88"/>
      <c r="G919" s="88"/>
      <c r="H919" s="30"/>
      <c r="I919" s="96"/>
      <c r="J919" s="97"/>
      <c r="K919" s="102"/>
      <c r="L919" s="103"/>
      <c r="M919" s="104"/>
      <c r="N919" s="105"/>
      <c r="O919" s="98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spans="1:27" x14ac:dyDescent="0.25">
      <c r="A920" s="88"/>
      <c r="B920" s="30"/>
      <c r="C920" s="30"/>
      <c r="D920" s="30"/>
      <c r="E920" s="30"/>
      <c r="F920" s="88"/>
      <c r="G920" s="88"/>
      <c r="H920" s="30"/>
      <c r="I920" s="96"/>
      <c r="J920" s="97"/>
      <c r="K920" s="102"/>
      <c r="L920" s="103"/>
      <c r="M920" s="104"/>
      <c r="N920" s="105"/>
      <c r="O920" s="98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spans="1:27" x14ac:dyDescent="0.25">
      <c r="A921" s="88"/>
      <c r="B921" s="30"/>
      <c r="C921" s="30"/>
      <c r="D921" s="30"/>
      <c r="E921" s="30"/>
      <c r="F921" s="88"/>
      <c r="G921" s="88"/>
      <c r="H921" s="30"/>
      <c r="I921" s="96"/>
      <c r="J921" s="97"/>
      <c r="K921" s="102"/>
      <c r="L921" s="103"/>
      <c r="M921" s="104"/>
      <c r="N921" s="105"/>
      <c r="O921" s="98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spans="1:27" x14ac:dyDescent="0.25">
      <c r="A922" s="88"/>
      <c r="B922" s="30"/>
      <c r="C922" s="30"/>
      <c r="D922" s="30"/>
      <c r="E922" s="30"/>
      <c r="F922" s="88"/>
      <c r="G922" s="88"/>
      <c r="H922" s="30"/>
      <c r="I922" s="96"/>
      <c r="J922" s="97"/>
      <c r="K922" s="102"/>
      <c r="L922" s="103"/>
      <c r="M922" s="104"/>
      <c r="N922" s="105"/>
      <c r="O922" s="98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spans="1:27" x14ac:dyDescent="0.25">
      <c r="A923" s="88"/>
      <c r="B923" s="30"/>
      <c r="C923" s="30"/>
      <c r="D923" s="30"/>
      <c r="E923" s="30"/>
      <c r="F923" s="88"/>
      <c r="G923" s="88"/>
      <c r="H923" s="30"/>
      <c r="I923" s="96"/>
      <c r="J923" s="97"/>
      <c r="K923" s="102"/>
      <c r="L923" s="103"/>
      <c r="M923" s="104"/>
      <c r="N923" s="105"/>
      <c r="O923" s="98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spans="1:27" x14ac:dyDescent="0.25">
      <c r="A924" s="88"/>
      <c r="B924" s="30"/>
      <c r="C924" s="30"/>
      <c r="D924" s="30"/>
      <c r="E924" s="30"/>
      <c r="F924" s="88"/>
      <c r="G924" s="88"/>
      <c r="H924" s="30"/>
      <c r="I924" s="96"/>
      <c r="J924" s="97"/>
      <c r="K924" s="102"/>
      <c r="L924" s="103"/>
      <c r="M924" s="104"/>
      <c r="N924" s="105"/>
      <c r="O924" s="98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spans="1:27" x14ac:dyDescent="0.25">
      <c r="A925" s="88"/>
      <c r="B925" s="30"/>
      <c r="C925" s="30"/>
      <c r="D925" s="30"/>
      <c r="E925" s="30"/>
      <c r="F925" s="88"/>
      <c r="G925" s="88"/>
      <c r="H925" s="30"/>
      <c r="I925" s="96"/>
      <c r="J925" s="97"/>
      <c r="K925" s="102"/>
      <c r="L925" s="103"/>
      <c r="M925" s="104"/>
      <c r="N925" s="105"/>
      <c r="O925" s="98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spans="1:27" x14ac:dyDescent="0.25">
      <c r="A926" s="88"/>
      <c r="B926" s="30"/>
      <c r="C926" s="30"/>
      <c r="D926" s="30"/>
      <c r="E926" s="30"/>
      <c r="F926" s="88"/>
      <c r="G926" s="88"/>
      <c r="H926" s="30"/>
      <c r="I926" s="96"/>
      <c r="J926" s="97"/>
      <c r="K926" s="102"/>
      <c r="L926" s="103"/>
      <c r="M926" s="104"/>
      <c r="N926" s="105"/>
      <c r="O926" s="98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spans="1:27" x14ac:dyDescent="0.25">
      <c r="A927" s="88"/>
      <c r="B927" s="30"/>
      <c r="C927" s="30"/>
      <c r="D927" s="30"/>
      <c r="E927" s="30"/>
      <c r="F927" s="88"/>
      <c r="G927" s="88"/>
      <c r="H927" s="30"/>
      <c r="I927" s="96"/>
      <c r="J927" s="97"/>
      <c r="K927" s="102"/>
      <c r="L927" s="103"/>
      <c r="M927" s="104"/>
      <c r="N927" s="105"/>
      <c r="O927" s="98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spans="1:27" x14ac:dyDescent="0.25">
      <c r="A928" s="88"/>
      <c r="B928" s="30"/>
      <c r="C928" s="30"/>
      <c r="D928" s="30"/>
      <c r="E928" s="30"/>
      <c r="F928" s="88"/>
      <c r="G928" s="88"/>
      <c r="H928" s="30"/>
      <c r="I928" s="96"/>
      <c r="J928" s="97"/>
      <c r="K928" s="102"/>
      <c r="L928" s="103"/>
      <c r="M928" s="104"/>
      <c r="N928" s="105"/>
      <c r="O928" s="98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spans="1:27" x14ac:dyDescent="0.25">
      <c r="A929" s="88"/>
      <c r="B929" s="30"/>
      <c r="C929" s="30"/>
      <c r="D929" s="30"/>
      <c r="E929" s="30"/>
      <c r="F929" s="88"/>
      <c r="G929" s="88"/>
      <c r="H929" s="30"/>
      <c r="I929" s="96"/>
      <c r="J929" s="97"/>
      <c r="K929" s="102"/>
      <c r="L929" s="103"/>
      <c r="M929" s="104"/>
      <c r="N929" s="105"/>
      <c r="O929" s="98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spans="1:27" x14ac:dyDescent="0.25">
      <c r="A930" s="88"/>
      <c r="B930" s="30"/>
      <c r="C930" s="30"/>
      <c r="D930" s="30"/>
      <c r="E930" s="30"/>
      <c r="F930" s="88"/>
      <c r="G930" s="88"/>
      <c r="H930" s="30"/>
      <c r="I930" s="96"/>
      <c r="J930" s="97"/>
      <c r="K930" s="102"/>
      <c r="L930" s="103"/>
      <c r="M930" s="104"/>
      <c r="N930" s="105"/>
      <c r="O930" s="98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spans="1:27" x14ac:dyDescent="0.25">
      <c r="A931" s="88"/>
      <c r="B931" s="30"/>
      <c r="C931" s="30"/>
      <c r="D931" s="30"/>
      <c r="E931" s="30"/>
      <c r="F931" s="88"/>
      <c r="G931" s="88"/>
      <c r="H931" s="30"/>
      <c r="I931" s="96"/>
      <c r="J931" s="97"/>
      <c r="K931" s="102"/>
      <c r="L931" s="103"/>
      <c r="M931" s="104"/>
      <c r="N931" s="105"/>
      <c r="O931" s="98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spans="1:27" x14ac:dyDescent="0.25">
      <c r="A932" s="88"/>
      <c r="B932" s="30"/>
      <c r="C932" s="30"/>
      <c r="D932" s="30"/>
      <c r="E932" s="30"/>
      <c r="F932" s="88"/>
      <c r="G932" s="88"/>
      <c r="H932" s="30"/>
      <c r="I932" s="96"/>
      <c r="J932" s="97"/>
      <c r="K932" s="102"/>
      <c r="L932" s="103"/>
      <c r="M932" s="104"/>
      <c r="N932" s="105"/>
      <c r="O932" s="98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spans="1:27" x14ac:dyDescent="0.25">
      <c r="A933" s="88"/>
      <c r="B933" s="30"/>
      <c r="C933" s="30"/>
      <c r="D933" s="30"/>
      <c r="E933" s="30"/>
      <c r="F933" s="88"/>
      <c r="G933" s="88"/>
      <c r="H933" s="30"/>
      <c r="I933" s="96"/>
      <c r="J933" s="97"/>
      <c r="K933" s="102"/>
      <c r="L933" s="103"/>
      <c r="M933" s="104"/>
      <c r="N933" s="105"/>
      <c r="O933" s="98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spans="1:27" x14ac:dyDescent="0.25">
      <c r="A934" s="88"/>
      <c r="B934" s="30"/>
      <c r="C934" s="30"/>
      <c r="D934" s="30"/>
      <c r="E934" s="30"/>
      <c r="F934" s="88"/>
      <c r="G934" s="88"/>
      <c r="H934" s="30"/>
      <c r="I934" s="96"/>
      <c r="J934" s="97"/>
      <c r="K934" s="102"/>
      <c r="L934" s="103"/>
      <c r="M934" s="104"/>
      <c r="N934" s="105"/>
      <c r="O934" s="98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spans="1:27" x14ac:dyDescent="0.25">
      <c r="A935" s="88"/>
      <c r="B935" s="30"/>
      <c r="C935" s="30"/>
      <c r="D935" s="30"/>
      <c r="E935" s="30"/>
      <c r="F935" s="88"/>
      <c r="G935" s="88"/>
      <c r="H935" s="30"/>
      <c r="I935" s="96"/>
      <c r="J935" s="97"/>
      <c r="K935" s="102"/>
      <c r="L935" s="103"/>
      <c r="M935" s="104"/>
      <c r="N935" s="105"/>
      <c r="O935" s="98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spans="1:27" x14ac:dyDescent="0.25">
      <c r="A936" s="88"/>
      <c r="B936" s="30"/>
      <c r="C936" s="30"/>
      <c r="D936" s="30"/>
      <c r="E936" s="30"/>
      <c r="F936" s="88"/>
      <c r="G936" s="88"/>
      <c r="H936" s="30"/>
      <c r="I936" s="96"/>
      <c r="J936" s="97"/>
      <c r="K936" s="102"/>
      <c r="L936" s="103"/>
      <c r="M936" s="104"/>
      <c r="N936" s="105"/>
      <c r="O936" s="98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spans="1:27" x14ac:dyDescent="0.25">
      <c r="A937" s="88"/>
      <c r="B937" s="30"/>
      <c r="C937" s="30"/>
      <c r="D937" s="30"/>
      <c r="E937" s="30"/>
      <c r="F937" s="88"/>
      <c r="G937" s="88"/>
      <c r="H937" s="30"/>
      <c r="I937" s="96"/>
      <c r="J937" s="97"/>
      <c r="K937" s="102"/>
      <c r="L937" s="103"/>
      <c r="M937" s="104"/>
      <c r="N937" s="105"/>
      <c r="O937" s="98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spans="1:27" x14ac:dyDescent="0.25">
      <c r="A938" s="88"/>
      <c r="B938" s="30"/>
      <c r="C938" s="30"/>
      <c r="D938" s="30"/>
      <c r="E938" s="30"/>
      <c r="F938" s="88"/>
      <c r="G938" s="88"/>
      <c r="H938" s="30"/>
      <c r="I938" s="96"/>
      <c r="J938" s="97"/>
      <c r="K938" s="102"/>
      <c r="L938" s="103"/>
      <c r="M938" s="104"/>
      <c r="N938" s="105"/>
      <c r="O938" s="98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spans="1:27" x14ac:dyDescent="0.25">
      <c r="A939" s="88"/>
      <c r="B939" s="30"/>
      <c r="C939" s="30"/>
      <c r="D939" s="30"/>
      <c r="E939" s="30"/>
      <c r="F939" s="88"/>
      <c r="G939" s="88"/>
      <c r="H939" s="30"/>
      <c r="I939" s="96"/>
      <c r="J939" s="97"/>
      <c r="K939" s="102"/>
      <c r="L939" s="103"/>
      <c r="M939" s="104"/>
      <c r="N939" s="105"/>
      <c r="O939" s="98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spans="1:27" x14ac:dyDescent="0.25">
      <c r="A940" s="88"/>
      <c r="B940" s="30"/>
      <c r="C940" s="30"/>
      <c r="D940" s="30"/>
      <c r="E940" s="30"/>
      <c r="F940" s="88"/>
      <c r="G940" s="88"/>
      <c r="H940" s="30"/>
      <c r="I940" s="96"/>
      <c r="J940" s="97"/>
      <c r="K940" s="102"/>
      <c r="L940" s="103"/>
      <c r="M940" s="104"/>
      <c r="N940" s="105"/>
      <c r="O940" s="98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spans="1:27" x14ac:dyDescent="0.25">
      <c r="A941" s="88"/>
      <c r="B941" s="30"/>
      <c r="C941" s="30"/>
      <c r="D941" s="30"/>
      <c r="E941" s="30"/>
      <c r="F941" s="88"/>
      <c r="G941" s="88"/>
      <c r="H941" s="30"/>
      <c r="I941" s="96"/>
      <c r="J941" s="97"/>
      <c r="K941" s="102"/>
      <c r="L941" s="103"/>
      <c r="M941" s="104"/>
      <c r="N941" s="105"/>
      <c r="O941" s="98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spans="1:27" x14ac:dyDescent="0.25">
      <c r="A942" s="88"/>
      <c r="B942" s="30"/>
      <c r="C942" s="30"/>
      <c r="D942" s="30"/>
      <c r="E942" s="30"/>
      <c r="F942" s="88"/>
      <c r="G942" s="88"/>
      <c r="H942" s="30"/>
      <c r="I942" s="96"/>
      <c r="J942" s="97"/>
      <c r="K942" s="102"/>
      <c r="L942" s="103"/>
      <c r="M942" s="104"/>
      <c r="N942" s="105"/>
      <c r="O942" s="98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spans="1:27" x14ac:dyDescent="0.25">
      <c r="A943" s="88"/>
      <c r="B943" s="30"/>
      <c r="C943" s="30"/>
      <c r="D943" s="30"/>
      <c r="E943" s="30"/>
      <c r="F943" s="88"/>
      <c r="G943" s="88"/>
      <c r="H943" s="30"/>
      <c r="I943" s="96"/>
      <c r="J943" s="97"/>
      <c r="K943" s="102"/>
      <c r="L943" s="103"/>
      <c r="M943" s="104"/>
      <c r="N943" s="105"/>
      <c r="O943" s="98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spans="1:27" x14ac:dyDescent="0.25">
      <c r="A944" s="88"/>
      <c r="B944" s="30"/>
      <c r="C944" s="30"/>
      <c r="D944" s="30"/>
      <c r="E944" s="30"/>
      <c r="F944" s="88"/>
      <c r="G944" s="88"/>
      <c r="H944" s="30"/>
      <c r="I944" s="96"/>
      <c r="J944" s="97"/>
      <c r="K944" s="102"/>
      <c r="L944" s="103"/>
      <c r="M944" s="104"/>
      <c r="N944" s="105"/>
      <c r="O944" s="98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spans="1:27" x14ac:dyDescent="0.25">
      <c r="A945" s="88"/>
      <c r="B945" s="30"/>
      <c r="C945" s="30"/>
      <c r="D945" s="30"/>
      <c r="E945" s="30"/>
      <c r="F945" s="88"/>
      <c r="G945" s="88"/>
      <c r="H945" s="30"/>
      <c r="I945" s="96"/>
      <c r="J945" s="97"/>
      <c r="K945" s="102"/>
      <c r="L945" s="103"/>
      <c r="M945" s="104"/>
      <c r="N945" s="105"/>
      <c r="O945" s="98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spans="1:27" x14ac:dyDescent="0.25">
      <c r="A946" s="88"/>
      <c r="B946" s="30"/>
      <c r="C946" s="30"/>
      <c r="D946" s="30"/>
      <c r="E946" s="30"/>
      <c r="F946" s="88"/>
      <c r="G946" s="88"/>
      <c r="H946" s="30"/>
      <c r="I946" s="96"/>
      <c r="J946" s="97"/>
      <c r="K946" s="102"/>
      <c r="L946" s="103"/>
      <c r="M946" s="104"/>
      <c r="N946" s="105"/>
      <c r="O946" s="98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spans="1:27" x14ac:dyDescent="0.25">
      <c r="A947" s="88"/>
      <c r="B947" s="30"/>
      <c r="C947" s="30"/>
      <c r="D947" s="30"/>
      <c r="E947" s="30"/>
      <c r="F947" s="88"/>
      <c r="G947" s="88"/>
      <c r="H947" s="30"/>
      <c r="I947" s="96"/>
      <c r="J947" s="97"/>
      <c r="K947" s="102"/>
      <c r="L947" s="103"/>
      <c r="M947" s="104"/>
      <c r="N947" s="105"/>
      <c r="O947" s="98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spans="1:27" x14ac:dyDescent="0.25">
      <c r="A948" s="88"/>
      <c r="B948" s="30"/>
      <c r="C948" s="30"/>
      <c r="D948" s="30"/>
      <c r="E948" s="30"/>
      <c r="F948" s="88"/>
      <c r="G948" s="88"/>
      <c r="H948" s="30"/>
      <c r="I948" s="96"/>
      <c r="J948" s="97"/>
      <c r="K948" s="102"/>
      <c r="L948" s="103"/>
      <c r="M948" s="104"/>
      <c r="N948" s="105"/>
      <c r="O948" s="98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spans="1:27" x14ac:dyDescent="0.25">
      <c r="A949" s="88"/>
      <c r="B949" s="30"/>
      <c r="C949" s="30"/>
      <c r="D949" s="30"/>
      <c r="E949" s="30"/>
      <c r="F949" s="88"/>
      <c r="G949" s="88"/>
      <c r="H949" s="30"/>
      <c r="I949" s="96"/>
      <c r="J949" s="97"/>
      <c r="K949" s="102"/>
      <c r="L949" s="103"/>
      <c r="M949" s="104"/>
      <c r="N949" s="105"/>
      <c r="O949" s="98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spans="1:27" x14ac:dyDescent="0.25">
      <c r="A950" s="88"/>
      <c r="B950" s="30"/>
      <c r="C950" s="30"/>
      <c r="D950" s="30"/>
      <c r="E950" s="30"/>
      <c r="F950" s="88"/>
      <c r="G950" s="88"/>
      <c r="H950" s="30"/>
      <c r="I950" s="96"/>
      <c r="J950" s="97"/>
      <c r="K950" s="102"/>
      <c r="L950" s="103"/>
      <c r="M950" s="104"/>
      <c r="N950" s="105"/>
      <c r="O950" s="98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spans="1:27" x14ac:dyDescent="0.25">
      <c r="A951" s="88"/>
      <c r="B951" s="30"/>
      <c r="C951" s="30"/>
      <c r="D951" s="30"/>
      <c r="E951" s="30"/>
      <c r="F951" s="88"/>
      <c r="G951" s="88"/>
      <c r="H951" s="30"/>
      <c r="I951" s="96"/>
      <c r="J951" s="97"/>
      <c r="K951" s="102"/>
      <c r="L951" s="103"/>
      <c r="M951" s="104"/>
      <c r="N951" s="105"/>
      <c r="O951" s="98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spans="1:27" x14ac:dyDescent="0.25">
      <c r="A952" s="88"/>
      <c r="B952" s="30"/>
      <c r="C952" s="30"/>
      <c r="D952" s="30"/>
      <c r="E952" s="30"/>
      <c r="F952" s="88"/>
      <c r="G952" s="88"/>
      <c r="H952" s="30"/>
      <c r="I952" s="96"/>
      <c r="J952" s="97"/>
      <c r="K952" s="102"/>
      <c r="L952" s="103"/>
      <c r="M952" s="104"/>
      <c r="N952" s="105"/>
      <c r="O952" s="98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spans="1:27" x14ac:dyDescent="0.25">
      <c r="A953" s="88"/>
      <c r="B953" s="30"/>
      <c r="C953" s="30"/>
      <c r="D953" s="30"/>
      <c r="E953" s="30"/>
      <c r="F953" s="88"/>
      <c r="G953" s="88"/>
      <c r="H953" s="30"/>
      <c r="I953" s="96"/>
      <c r="J953" s="97"/>
      <c r="K953" s="102"/>
      <c r="L953" s="103"/>
      <c r="M953" s="104"/>
      <c r="N953" s="105"/>
      <c r="O953" s="98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spans="1:27" x14ac:dyDescent="0.25">
      <c r="A954" s="88"/>
      <c r="B954" s="30"/>
      <c r="C954" s="30"/>
      <c r="D954" s="30"/>
      <c r="E954" s="30"/>
      <c r="F954" s="88"/>
      <c r="G954" s="88"/>
      <c r="H954" s="30"/>
      <c r="I954" s="96"/>
      <c r="J954" s="97"/>
      <c r="K954" s="102"/>
      <c r="L954" s="103"/>
      <c r="M954" s="104"/>
      <c r="N954" s="105"/>
      <c r="O954" s="98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spans="1:27" x14ac:dyDescent="0.25">
      <c r="A955" s="88"/>
      <c r="B955" s="30"/>
      <c r="C955" s="30"/>
      <c r="D955" s="30"/>
      <c r="E955" s="30"/>
      <c r="F955" s="88"/>
      <c r="G955" s="88"/>
      <c r="H955" s="30"/>
      <c r="I955" s="96"/>
      <c r="J955" s="97"/>
      <c r="K955" s="102"/>
      <c r="L955" s="103"/>
      <c r="M955" s="104"/>
      <c r="N955" s="105"/>
      <c r="O955" s="98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spans="1:27" x14ac:dyDescent="0.25">
      <c r="A956" s="88"/>
      <c r="B956" s="30"/>
      <c r="C956" s="30"/>
      <c r="D956" s="30"/>
      <c r="E956" s="30"/>
      <c r="F956" s="88"/>
      <c r="G956" s="88"/>
      <c r="H956" s="30"/>
      <c r="I956" s="96"/>
      <c r="J956" s="97"/>
      <c r="K956" s="102"/>
      <c r="L956" s="103"/>
      <c r="M956" s="104"/>
      <c r="N956" s="105"/>
      <c r="O956" s="98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spans="1:27" x14ac:dyDescent="0.25">
      <c r="A957" s="88"/>
      <c r="B957" s="30"/>
      <c r="C957" s="30"/>
      <c r="D957" s="30"/>
      <c r="E957" s="30"/>
      <c r="F957" s="88"/>
      <c r="G957" s="88"/>
      <c r="H957" s="30"/>
      <c r="I957" s="96"/>
      <c r="J957" s="97"/>
      <c r="K957" s="102"/>
      <c r="L957" s="103"/>
      <c r="M957" s="104"/>
      <c r="N957" s="105"/>
      <c r="O957" s="98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spans="1:27" x14ac:dyDescent="0.25">
      <c r="A958" s="88"/>
      <c r="B958" s="30"/>
      <c r="C958" s="30"/>
      <c r="D958" s="30"/>
      <c r="E958" s="30"/>
      <c r="F958" s="88"/>
      <c r="G958" s="88"/>
      <c r="H958" s="30"/>
      <c r="I958" s="96"/>
      <c r="J958" s="97"/>
      <c r="K958" s="102"/>
      <c r="L958" s="103"/>
      <c r="M958" s="104"/>
      <c r="N958" s="105"/>
      <c r="O958" s="98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spans="1:27" x14ac:dyDescent="0.25">
      <c r="A959" s="88"/>
      <c r="B959" s="30"/>
      <c r="C959" s="30"/>
      <c r="D959" s="30"/>
      <c r="E959" s="30"/>
      <c r="F959" s="88"/>
      <c r="G959" s="88"/>
      <c r="H959" s="30"/>
      <c r="I959" s="96"/>
      <c r="J959" s="97"/>
      <c r="K959" s="102"/>
      <c r="L959" s="103"/>
      <c r="M959" s="104"/>
      <c r="N959" s="105"/>
      <c r="O959" s="98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spans="1:27" x14ac:dyDescent="0.25">
      <c r="A960" s="88"/>
      <c r="B960" s="30"/>
      <c r="C960" s="30"/>
      <c r="D960" s="30"/>
      <c r="E960" s="30"/>
      <c r="F960" s="88"/>
      <c r="G960" s="88"/>
      <c r="H960" s="30"/>
      <c r="I960" s="96"/>
      <c r="J960" s="97"/>
      <c r="K960" s="102"/>
      <c r="L960" s="103"/>
      <c r="M960" s="104"/>
      <c r="N960" s="105"/>
      <c r="O960" s="98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spans="1:27" x14ac:dyDescent="0.25">
      <c r="A961" s="88"/>
      <c r="B961" s="30"/>
      <c r="C961" s="30"/>
      <c r="D961" s="30"/>
      <c r="E961" s="30"/>
      <c r="F961" s="88"/>
      <c r="G961" s="88"/>
      <c r="H961" s="30"/>
      <c r="I961" s="96"/>
      <c r="J961" s="97"/>
      <c r="K961" s="102"/>
      <c r="L961" s="103"/>
      <c r="M961" s="104"/>
      <c r="N961" s="105"/>
      <c r="O961" s="98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spans="1:27" x14ac:dyDescent="0.25">
      <c r="A962" s="88"/>
      <c r="B962" s="30"/>
      <c r="C962" s="30"/>
      <c r="D962" s="30"/>
      <c r="E962" s="30"/>
      <c r="F962" s="88"/>
      <c r="G962" s="88"/>
      <c r="H962" s="30"/>
      <c r="I962" s="96"/>
      <c r="J962" s="97"/>
      <c r="K962" s="102"/>
      <c r="L962" s="103"/>
      <c r="M962" s="104"/>
      <c r="N962" s="105"/>
      <c r="O962" s="98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spans="1:27" x14ac:dyDescent="0.25">
      <c r="A963" s="88"/>
      <c r="B963" s="30"/>
      <c r="C963" s="30"/>
      <c r="D963" s="30"/>
      <c r="E963" s="30"/>
      <c r="F963" s="88"/>
      <c r="G963" s="88"/>
      <c r="H963" s="30"/>
      <c r="I963" s="96"/>
      <c r="J963" s="97"/>
      <c r="K963" s="102"/>
      <c r="L963" s="103"/>
      <c r="M963" s="104"/>
      <c r="N963" s="105"/>
      <c r="O963" s="98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spans="1:27" x14ac:dyDescent="0.25">
      <c r="A964" s="88"/>
      <c r="B964" s="30"/>
      <c r="C964" s="30"/>
      <c r="D964" s="30"/>
      <c r="E964" s="30"/>
      <c r="F964" s="88"/>
      <c r="G964" s="88"/>
      <c r="H964" s="30"/>
      <c r="I964" s="96"/>
      <c r="J964" s="97"/>
      <c r="K964" s="102"/>
      <c r="L964" s="103"/>
      <c r="M964" s="104"/>
      <c r="N964" s="105"/>
      <c r="O964" s="98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spans="1:27" x14ac:dyDescent="0.25">
      <c r="A965" s="88"/>
      <c r="B965" s="30"/>
      <c r="C965" s="30"/>
      <c r="D965" s="30"/>
      <c r="E965" s="30"/>
      <c r="F965" s="88"/>
      <c r="G965" s="88"/>
      <c r="H965" s="30"/>
      <c r="I965" s="96"/>
      <c r="J965" s="97"/>
      <c r="K965" s="102"/>
      <c r="L965" s="103"/>
      <c r="M965" s="104"/>
      <c r="N965" s="105"/>
      <c r="O965" s="98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spans="1:27" x14ac:dyDescent="0.25">
      <c r="A966" s="88"/>
      <c r="B966" s="30"/>
      <c r="C966" s="30"/>
      <c r="D966" s="30"/>
      <c r="E966" s="30"/>
      <c r="F966" s="88"/>
      <c r="G966" s="88"/>
      <c r="H966" s="30"/>
      <c r="I966" s="96"/>
      <c r="J966" s="97"/>
      <c r="K966" s="102"/>
      <c r="L966" s="103"/>
      <c r="M966" s="104"/>
      <c r="N966" s="105"/>
      <c r="O966" s="98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spans="1:27" x14ac:dyDescent="0.25">
      <c r="A967" s="88"/>
      <c r="B967" s="30"/>
      <c r="C967" s="30"/>
      <c r="D967" s="30"/>
      <c r="E967" s="30"/>
      <c r="F967" s="88"/>
      <c r="G967" s="88"/>
      <c r="H967" s="30"/>
      <c r="I967" s="96"/>
      <c r="J967" s="97"/>
      <c r="K967" s="102"/>
      <c r="L967" s="103"/>
      <c r="M967" s="104"/>
      <c r="N967" s="105"/>
      <c r="O967" s="98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spans="1:27" x14ac:dyDescent="0.25">
      <c r="A968" s="88"/>
      <c r="B968" s="30"/>
      <c r="C968" s="30"/>
      <c r="D968" s="30"/>
      <c r="E968" s="30"/>
      <c r="F968" s="88"/>
      <c r="G968" s="88"/>
      <c r="H968" s="30"/>
      <c r="I968" s="96"/>
      <c r="J968" s="97"/>
      <c r="K968" s="102"/>
      <c r="L968" s="103"/>
      <c r="M968" s="104"/>
      <c r="N968" s="105"/>
      <c r="O968" s="98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spans="1:27" x14ac:dyDescent="0.25">
      <c r="A969" s="88"/>
      <c r="B969" s="30"/>
      <c r="C969" s="30"/>
      <c r="D969" s="30"/>
      <c r="E969" s="30"/>
      <c r="F969" s="88"/>
      <c r="G969" s="88"/>
      <c r="H969" s="30"/>
      <c r="I969" s="96"/>
      <c r="J969" s="97"/>
      <c r="K969" s="102"/>
      <c r="L969" s="103"/>
      <c r="M969" s="104"/>
      <c r="N969" s="105"/>
      <c r="O969" s="98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spans="1:27" x14ac:dyDescent="0.25">
      <c r="A970" s="88"/>
      <c r="B970" s="30"/>
      <c r="C970" s="30"/>
      <c r="D970" s="30"/>
      <c r="E970" s="30"/>
      <c r="F970" s="88"/>
      <c r="G970" s="88"/>
      <c r="H970" s="30"/>
      <c r="I970" s="96"/>
      <c r="J970" s="97"/>
      <c r="K970" s="102"/>
      <c r="L970" s="103"/>
      <c r="M970" s="104"/>
      <c r="N970" s="105"/>
      <c r="O970" s="98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spans="1:27" x14ac:dyDescent="0.25">
      <c r="A971" s="88"/>
      <c r="B971" s="30"/>
      <c r="C971" s="30"/>
      <c r="D971" s="30"/>
      <c r="E971" s="30"/>
      <c r="F971" s="88"/>
      <c r="G971" s="88"/>
      <c r="H971" s="30"/>
      <c r="I971" s="96"/>
      <c r="J971" s="97"/>
      <c r="K971" s="102"/>
      <c r="L971" s="103"/>
      <c r="M971" s="104"/>
      <c r="N971" s="105"/>
      <c r="O971" s="98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spans="1:27" x14ac:dyDescent="0.25">
      <c r="A972" s="88"/>
      <c r="B972" s="30"/>
      <c r="C972" s="30"/>
      <c r="D972" s="30"/>
      <c r="E972" s="30"/>
      <c r="F972" s="88"/>
      <c r="G972" s="88"/>
      <c r="H972" s="30"/>
      <c r="I972" s="96"/>
      <c r="J972" s="97"/>
      <c r="K972" s="102"/>
      <c r="L972" s="103"/>
      <c r="M972" s="104"/>
      <c r="N972" s="105"/>
      <c r="O972" s="98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spans="1:27" x14ac:dyDescent="0.25">
      <c r="A973" s="88"/>
      <c r="B973" s="30"/>
      <c r="C973" s="30"/>
      <c r="D973" s="30"/>
      <c r="E973" s="30"/>
      <c r="F973" s="88"/>
      <c r="G973" s="88"/>
      <c r="H973" s="30"/>
      <c r="I973" s="96"/>
      <c r="J973" s="97"/>
      <c r="K973" s="102"/>
      <c r="L973" s="103"/>
      <c r="M973" s="104"/>
      <c r="N973" s="105"/>
      <c r="O973" s="98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spans="1:27" x14ac:dyDescent="0.25">
      <c r="A974" s="88"/>
      <c r="B974" s="30"/>
      <c r="C974" s="30"/>
      <c r="D974" s="30"/>
      <c r="E974" s="30"/>
      <c r="F974" s="88"/>
      <c r="G974" s="88"/>
      <c r="H974" s="30"/>
      <c r="I974" s="96"/>
      <c r="J974" s="97"/>
      <c r="K974" s="102"/>
      <c r="L974" s="103"/>
      <c r="M974" s="104"/>
      <c r="N974" s="105"/>
      <c r="O974" s="98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spans="1:27" x14ac:dyDescent="0.25">
      <c r="A975" s="88"/>
      <c r="B975" s="30"/>
      <c r="C975" s="30"/>
      <c r="D975" s="30"/>
      <c r="E975" s="30"/>
      <c r="F975" s="88"/>
      <c r="G975" s="88"/>
      <c r="H975" s="30"/>
      <c r="I975" s="96"/>
      <c r="J975" s="97"/>
      <c r="K975" s="102"/>
      <c r="L975" s="103"/>
      <c r="M975" s="104"/>
      <c r="N975" s="105"/>
      <c r="O975" s="98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spans="1:27" x14ac:dyDescent="0.25">
      <c r="A976" s="88"/>
      <c r="B976" s="30"/>
      <c r="C976" s="30"/>
      <c r="D976" s="30"/>
      <c r="E976" s="30"/>
      <c r="F976" s="88"/>
      <c r="G976" s="88"/>
      <c r="H976" s="30"/>
      <c r="I976" s="96"/>
      <c r="J976" s="97"/>
      <c r="K976" s="102"/>
      <c r="L976" s="103"/>
      <c r="M976" s="104"/>
      <c r="N976" s="105"/>
      <c r="O976" s="98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spans="1:27" x14ac:dyDescent="0.25">
      <c r="A977" s="88"/>
      <c r="B977" s="30"/>
      <c r="C977" s="30"/>
      <c r="D977" s="30"/>
      <c r="E977" s="30"/>
      <c r="F977" s="88"/>
      <c r="G977" s="88"/>
      <c r="H977" s="30"/>
      <c r="I977" s="96"/>
      <c r="J977" s="97"/>
      <c r="K977" s="102"/>
      <c r="L977" s="103"/>
      <c r="M977" s="104"/>
      <c r="N977" s="105"/>
      <c r="O977" s="98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spans="1:27" x14ac:dyDescent="0.25">
      <c r="A978" s="88"/>
      <c r="B978" s="30"/>
      <c r="C978" s="30"/>
      <c r="D978" s="30"/>
      <c r="E978" s="30"/>
      <c r="F978" s="88"/>
      <c r="G978" s="88"/>
      <c r="H978" s="30"/>
      <c r="I978" s="96"/>
      <c r="J978" s="97"/>
      <c r="K978" s="102"/>
      <c r="L978" s="103"/>
      <c r="M978" s="104"/>
      <c r="N978" s="105"/>
      <c r="O978" s="98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spans="1:27" x14ac:dyDescent="0.25">
      <c r="A979" s="88"/>
      <c r="B979" s="30"/>
      <c r="C979" s="30"/>
      <c r="D979" s="30"/>
      <c r="E979" s="30"/>
      <c r="F979" s="88"/>
      <c r="G979" s="88"/>
      <c r="H979" s="30"/>
      <c r="I979" s="96"/>
      <c r="J979" s="97"/>
      <c r="K979" s="102"/>
      <c r="L979" s="103"/>
      <c r="M979" s="104"/>
      <c r="N979" s="105"/>
      <c r="O979" s="98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spans="1:27" x14ac:dyDescent="0.25">
      <c r="A980" s="88"/>
      <c r="B980" s="30"/>
      <c r="C980" s="30"/>
      <c r="D980" s="30"/>
      <c r="E980" s="30"/>
      <c r="F980" s="88"/>
      <c r="G980" s="88"/>
      <c r="H980" s="30"/>
      <c r="I980" s="96"/>
      <c r="J980" s="97"/>
      <c r="K980" s="102"/>
      <c r="L980" s="103"/>
      <c r="M980" s="104"/>
      <c r="N980" s="105"/>
      <c r="O980" s="98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spans="1:27" x14ac:dyDescent="0.25">
      <c r="A981" s="88"/>
      <c r="B981" s="30"/>
      <c r="C981" s="30"/>
      <c r="D981" s="30"/>
      <c r="E981" s="30"/>
      <c r="F981" s="88"/>
      <c r="G981" s="88"/>
      <c r="H981" s="30"/>
      <c r="I981" s="96"/>
      <c r="J981" s="97"/>
      <c r="K981" s="102"/>
      <c r="L981" s="103"/>
      <c r="M981" s="104"/>
      <c r="N981" s="105"/>
      <c r="O981" s="98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spans="1:27" x14ac:dyDescent="0.25">
      <c r="A982" s="88"/>
      <c r="B982" s="30"/>
      <c r="C982" s="30"/>
      <c r="D982" s="30"/>
      <c r="E982" s="30"/>
      <c r="F982" s="88"/>
      <c r="G982" s="88"/>
      <c r="H982" s="30"/>
      <c r="I982" s="96"/>
      <c r="J982" s="97"/>
      <c r="K982" s="102"/>
      <c r="L982" s="103"/>
      <c r="M982" s="104"/>
      <c r="N982" s="105"/>
      <c r="O982" s="98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spans="1:27" x14ac:dyDescent="0.25">
      <c r="A983" s="88"/>
      <c r="B983" s="30"/>
      <c r="C983" s="30"/>
      <c r="D983" s="30"/>
      <c r="E983" s="30"/>
      <c r="F983" s="88"/>
      <c r="G983" s="88"/>
      <c r="H983" s="30"/>
      <c r="I983" s="96"/>
      <c r="J983" s="97"/>
      <c r="K983" s="102"/>
      <c r="L983" s="103"/>
      <c r="M983" s="104"/>
      <c r="N983" s="105"/>
      <c r="O983" s="98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spans="1:27" x14ac:dyDescent="0.25">
      <c r="A984" s="88"/>
      <c r="B984" s="30"/>
      <c r="C984" s="30"/>
      <c r="D984" s="30"/>
      <c r="E984" s="30"/>
      <c r="F984" s="88"/>
      <c r="G984" s="88"/>
      <c r="H984" s="30"/>
      <c r="I984" s="96"/>
      <c r="J984" s="97"/>
      <c r="K984" s="102"/>
      <c r="L984" s="103"/>
      <c r="M984" s="104"/>
      <c r="N984" s="105"/>
      <c r="O984" s="98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spans="1:27" x14ac:dyDescent="0.25">
      <c r="A985" s="88"/>
      <c r="B985" s="30"/>
      <c r="C985" s="30"/>
      <c r="D985" s="30"/>
      <c r="E985" s="30"/>
      <c r="F985" s="88"/>
      <c r="G985" s="88"/>
      <c r="H985" s="30"/>
      <c r="I985" s="96"/>
      <c r="J985" s="97"/>
      <c r="K985" s="102"/>
      <c r="L985" s="103"/>
      <c r="M985" s="104"/>
      <c r="N985" s="105"/>
      <c r="O985" s="98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spans="1:27" x14ac:dyDescent="0.25">
      <c r="A986" s="88"/>
      <c r="B986" s="30"/>
      <c r="C986" s="30"/>
      <c r="D986" s="30"/>
      <c r="E986" s="30"/>
      <c r="F986" s="88"/>
      <c r="G986" s="88"/>
      <c r="H986" s="30"/>
      <c r="I986" s="96"/>
      <c r="J986" s="97"/>
      <c r="K986" s="102"/>
      <c r="L986" s="103"/>
      <c r="M986" s="104"/>
      <c r="N986" s="105"/>
      <c r="O986" s="98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spans="1:27" x14ac:dyDescent="0.25">
      <c r="A987" s="88"/>
      <c r="B987" s="30"/>
      <c r="C987" s="30"/>
      <c r="D987" s="30"/>
      <c r="E987" s="30"/>
      <c r="F987" s="88"/>
      <c r="G987" s="88"/>
      <c r="H987" s="30"/>
      <c r="I987" s="96"/>
      <c r="J987" s="97"/>
      <c r="K987" s="102"/>
      <c r="L987" s="103"/>
      <c r="M987" s="104"/>
      <c r="N987" s="105"/>
      <c r="O987" s="98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spans="1:27" x14ac:dyDescent="0.25">
      <c r="A988" s="88"/>
      <c r="B988" s="30"/>
      <c r="C988" s="30"/>
      <c r="D988" s="30"/>
      <c r="E988" s="30"/>
      <c r="F988" s="88"/>
      <c r="G988" s="88"/>
      <c r="H988" s="30"/>
      <c r="I988" s="96"/>
      <c r="J988" s="97"/>
      <c r="K988" s="102"/>
      <c r="L988" s="103"/>
      <c r="M988" s="104"/>
      <c r="N988" s="105"/>
      <c r="O988" s="98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spans="1:27" x14ac:dyDescent="0.25">
      <c r="A989" s="88"/>
      <c r="B989" s="30"/>
      <c r="C989" s="30"/>
      <c r="D989" s="30"/>
      <c r="E989" s="30"/>
      <c r="F989" s="88"/>
      <c r="G989" s="88"/>
      <c r="H989" s="30"/>
      <c r="I989" s="96"/>
      <c r="J989" s="97"/>
      <c r="K989" s="102"/>
      <c r="L989" s="103"/>
      <c r="M989" s="104"/>
      <c r="N989" s="105"/>
      <c r="O989" s="98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spans="1:27" x14ac:dyDescent="0.25">
      <c r="A990" s="88"/>
      <c r="B990" s="30"/>
      <c r="C990" s="30"/>
      <c r="D990" s="30"/>
      <c r="E990" s="30"/>
      <c r="F990" s="88"/>
      <c r="G990" s="88"/>
      <c r="H990" s="30"/>
      <c r="I990" s="96"/>
      <c r="J990" s="97"/>
      <c r="K990" s="102"/>
      <c r="L990" s="103"/>
      <c r="M990" s="104"/>
      <c r="N990" s="105"/>
      <c r="O990" s="98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spans="1:27" x14ac:dyDescent="0.25">
      <c r="A991" s="88"/>
      <c r="B991" s="30"/>
      <c r="C991" s="30"/>
      <c r="D991" s="30"/>
      <c r="E991" s="30"/>
      <c r="F991" s="88"/>
      <c r="G991" s="88"/>
      <c r="H991" s="30"/>
      <c r="I991" s="96"/>
      <c r="J991" s="97"/>
      <c r="K991" s="102"/>
      <c r="L991" s="103"/>
      <c r="M991" s="104"/>
      <c r="N991" s="105"/>
      <c r="O991" s="98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spans="1:27" x14ac:dyDescent="0.25">
      <c r="A992" s="88"/>
      <c r="B992" s="30"/>
      <c r="C992" s="30"/>
      <c r="D992" s="30"/>
      <c r="E992" s="30"/>
      <c r="F992" s="88"/>
      <c r="G992" s="88"/>
      <c r="H992" s="30"/>
      <c r="I992" s="96"/>
      <c r="J992" s="97"/>
      <c r="K992" s="102"/>
      <c r="L992" s="103"/>
      <c r="M992" s="104"/>
      <c r="N992" s="105"/>
      <c r="O992" s="98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spans="1:27" x14ac:dyDescent="0.25">
      <c r="A993" s="88"/>
      <c r="B993" s="30"/>
      <c r="C993" s="30"/>
      <c r="D993" s="30"/>
      <c r="E993" s="30"/>
      <c r="F993" s="88"/>
      <c r="G993" s="88"/>
      <c r="H993" s="30"/>
      <c r="I993" s="96"/>
      <c r="J993" s="97"/>
      <c r="K993" s="102"/>
      <c r="L993" s="103"/>
      <c r="M993" s="104"/>
      <c r="N993" s="105"/>
      <c r="O993" s="98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spans="1:27" x14ac:dyDescent="0.25">
      <c r="A994" s="88"/>
      <c r="B994" s="30"/>
      <c r="C994" s="30"/>
      <c r="D994" s="30"/>
      <c r="E994" s="30"/>
      <c r="F994" s="88"/>
      <c r="G994" s="88"/>
      <c r="H994" s="30"/>
      <c r="I994" s="96"/>
      <c r="J994" s="97"/>
      <c r="K994" s="102"/>
      <c r="L994" s="103"/>
      <c r="M994" s="104"/>
      <c r="N994" s="105"/>
      <c r="O994" s="98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spans="1:27" x14ac:dyDescent="0.25">
      <c r="A995" s="88"/>
      <c r="B995" s="30"/>
      <c r="C995" s="30"/>
      <c r="D995" s="30"/>
      <c r="E995" s="30"/>
      <c r="F995" s="88"/>
      <c r="G995" s="88"/>
      <c r="H995" s="30"/>
      <c r="I995" s="96"/>
      <c r="J995" s="97"/>
      <c r="K995" s="102"/>
      <c r="L995" s="103"/>
      <c r="M995" s="104"/>
      <c r="N995" s="105"/>
      <c r="O995" s="98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spans="1:27" x14ac:dyDescent="0.25">
      <c r="A996" s="88"/>
      <c r="B996" s="30"/>
      <c r="C996" s="30"/>
      <c r="D996" s="30"/>
      <c r="E996" s="30"/>
      <c r="F996" s="88"/>
      <c r="G996" s="88"/>
      <c r="H996" s="30"/>
      <c r="I996" s="96"/>
      <c r="J996" s="97"/>
      <c r="K996" s="102"/>
      <c r="L996" s="103"/>
      <c r="M996" s="104"/>
      <c r="N996" s="105"/>
      <c r="O996" s="98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spans="1:27" x14ac:dyDescent="0.25">
      <c r="A997" s="88"/>
      <c r="B997" s="30"/>
      <c r="C997" s="30"/>
      <c r="D997" s="30"/>
      <c r="E997" s="30"/>
      <c r="F997" s="88"/>
      <c r="G997" s="88"/>
      <c r="H997" s="30"/>
      <c r="I997" s="96"/>
      <c r="J997" s="97"/>
      <c r="K997" s="102"/>
      <c r="L997" s="103"/>
      <c r="M997" s="104"/>
      <c r="N997" s="105"/>
      <c r="O997" s="98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spans="1:27" x14ac:dyDescent="0.25">
      <c r="A998" s="88"/>
      <c r="B998" s="30"/>
      <c r="C998" s="30"/>
      <c r="D998" s="30"/>
      <c r="E998" s="30"/>
      <c r="F998" s="88"/>
      <c r="G998" s="88"/>
      <c r="H998" s="30"/>
      <c r="I998" s="96"/>
      <c r="J998" s="97"/>
      <c r="K998" s="102"/>
      <c r="L998" s="103"/>
      <c r="M998" s="104"/>
      <c r="N998" s="105"/>
      <c r="O998" s="98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spans="1:27" x14ac:dyDescent="0.25">
      <c r="A999" s="88"/>
      <c r="B999" s="30"/>
      <c r="C999" s="30"/>
      <c r="D999" s="30"/>
      <c r="E999" s="30"/>
      <c r="F999" s="88"/>
      <c r="G999" s="88"/>
      <c r="H999" s="30"/>
      <c r="I999" s="96"/>
      <c r="J999" s="97"/>
      <c r="K999" s="102"/>
      <c r="L999" s="103"/>
      <c r="M999" s="104"/>
      <c r="N999" s="105"/>
      <c r="O999" s="98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spans="1:27" x14ac:dyDescent="0.25">
      <c r="A1000" s="88"/>
      <c r="B1000" s="30"/>
      <c r="C1000" s="30"/>
      <c r="D1000" s="30"/>
      <c r="E1000" s="30"/>
      <c r="F1000" s="88"/>
      <c r="G1000" s="88"/>
      <c r="H1000" s="30"/>
      <c r="I1000" s="96"/>
      <c r="J1000" s="97"/>
      <c r="K1000" s="102"/>
      <c r="L1000" s="103"/>
      <c r="M1000" s="104"/>
      <c r="N1000" s="105"/>
      <c r="O1000" s="98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 spans="1:27" x14ac:dyDescent="0.25">
      <c r="A1001" s="88"/>
      <c r="B1001" s="30"/>
      <c r="C1001" s="30"/>
      <c r="D1001" s="30"/>
      <c r="E1001" s="30"/>
      <c r="F1001" s="88"/>
      <c r="G1001" s="88"/>
      <c r="H1001" s="30"/>
      <c r="I1001" s="96"/>
      <c r="J1001" s="97"/>
      <c r="K1001" s="102"/>
      <c r="L1001" s="103"/>
      <c r="M1001" s="104"/>
      <c r="N1001" s="105"/>
      <c r="O1001" s="98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 spans="1:27" x14ac:dyDescent="0.25">
      <c r="A1002" s="88"/>
      <c r="B1002" s="30"/>
      <c r="C1002" s="30"/>
      <c r="D1002" s="30"/>
      <c r="E1002" s="30"/>
      <c r="F1002" s="88"/>
      <c r="G1002" s="88"/>
      <c r="H1002" s="30"/>
      <c r="I1002" s="96"/>
      <c r="J1002" s="97"/>
      <c r="K1002" s="102"/>
      <c r="L1002" s="103"/>
      <c r="M1002" s="104"/>
      <c r="N1002" s="105"/>
      <c r="O1002" s="98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 spans="1:27" x14ac:dyDescent="0.25">
      <c r="A1003" s="88"/>
      <c r="B1003" s="30"/>
      <c r="C1003" s="30"/>
      <c r="D1003" s="30"/>
      <c r="E1003" s="30"/>
      <c r="F1003" s="88"/>
      <c r="G1003" s="88"/>
      <c r="H1003" s="30"/>
      <c r="I1003" s="96"/>
      <c r="J1003" s="97"/>
      <c r="K1003" s="102"/>
      <c r="L1003" s="103"/>
      <c r="M1003" s="104"/>
      <c r="N1003" s="105"/>
      <c r="O1003" s="98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 spans="1:27" x14ac:dyDescent="0.25">
      <c r="A1004" s="88"/>
      <c r="B1004" s="30"/>
      <c r="C1004" s="30"/>
      <c r="D1004" s="30"/>
      <c r="E1004" s="30"/>
      <c r="F1004" s="88"/>
      <c r="G1004" s="88"/>
      <c r="H1004" s="30"/>
      <c r="I1004" s="96"/>
      <c r="J1004" s="97"/>
      <c r="K1004" s="102"/>
      <c r="L1004" s="103"/>
      <c r="M1004" s="104"/>
      <c r="N1004" s="105"/>
      <c r="O1004" s="98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 spans="1:27" x14ac:dyDescent="0.25">
      <c r="A1005" s="88"/>
      <c r="B1005" s="30"/>
      <c r="C1005" s="30"/>
      <c r="D1005" s="30"/>
      <c r="E1005" s="30"/>
      <c r="F1005" s="88"/>
      <c r="G1005" s="88"/>
      <c r="H1005" s="30"/>
      <c r="I1005" s="96"/>
      <c r="J1005" s="97"/>
      <c r="K1005" s="102"/>
      <c r="L1005" s="103"/>
      <c r="M1005" s="104"/>
      <c r="N1005" s="105"/>
      <c r="O1005" s="98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  <row r="1006" spans="1:27" x14ac:dyDescent="0.25">
      <c r="A1006" s="88"/>
      <c r="B1006" s="30"/>
      <c r="C1006" s="30"/>
      <c r="D1006" s="30"/>
      <c r="E1006" s="30"/>
      <c r="F1006" s="88"/>
      <c r="G1006" s="88"/>
      <c r="H1006" s="30"/>
      <c r="I1006" s="96"/>
      <c r="J1006" s="97"/>
      <c r="K1006" s="102"/>
      <c r="L1006" s="103"/>
      <c r="M1006" s="104"/>
      <c r="N1006" s="105"/>
      <c r="O1006" s="98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</row>
    <row r="1007" spans="1:27" x14ac:dyDescent="0.25">
      <c r="A1007" s="88"/>
      <c r="B1007" s="30"/>
      <c r="C1007" s="30"/>
      <c r="D1007" s="30"/>
      <c r="E1007" s="30"/>
      <c r="F1007" s="88"/>
      <c r="G1007" s="88"/>
      <c r="H1007" s="30"/>
      <c r="I1007" s="96"/>
      <c r="J1007" s="97"/>
      <c r="K1007" s="102"/>
      <c r="L1007" s="103"/>
      <c r="M1007" s="104"/>
      <c r="N1007" s="105"/>
      <c r="O1007" s="98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</row>
    <row r="1008" spans="1:27" x14ac:dyDescent="0.25">
      <c r="A1008" s="88"/>
      <c r="B1008" s="30"/>
      <c r="C1008" s="30"/>
      <c r="D1008" s="30"/>
      <c r="E1008" s="30"/>
      <c r="F1008" s="88"/>
      <c r="G1008" s="88"/>
      <c r="H1008" s="30"/>
      <c r="I1008" s="96"/>
      <c r="J1008" s="97"/>
      <c r="K1008" s="102"/>
      <c r="L1008" s="103"/>
      <c r="M1008" s="104"/>
      <c r="N1008" s="105"/>
      <c r="O1008" s="98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</row>
    <row r="1009" spans="1:27" x14ac:dyDescent="0.25">
      <c r="A1009" s="88"/>
      <c r="B1009" s="30"/>
      <c r="C1009" s="30"/>
      <c r="D1009" s="30"/>
      <c r="E1009" s="30"/>
      <c r="F1009" s="88"/>
      <c r="G1009" s="88"/>
      <c r="H1009" s="30"/>
      <c r="I1009" s="96"/>
      <c r="J1009" s="97"/>
      <c r="K1009" s="102"/>
      <c r="L1009" s="103"/>
      <c r="M1009" s="104"/>
      <c r="N1009" s="105"/>
      <c r="O1009" s="98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</row>
    <row r="1010" spans="1:27" x14ac:dyDescent="0.25">
      <c r="A1010" s="88"/>
      <c r="B1010" s="30"/>
      <c r="C1010" s="30"/>
      <c r="D1010" s="30"/>
      <c r="E1010" s="30"/>
      <c r="F1010" s="88"/>
      <c r="G1010" s="88"/>
      <c r="H1010" s="30"/>
      <c r="I1010" s="96"/>
      <c r="J1010" s="97"/>
      <c r="K1010" s="102"/>
      <c r="L1010" s="103"/>
      <c r="M1010" s="104"/>
      <c r="N1010" s="105"/>
      <c r="O1010" s="98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</row>
    <row r="1011" spans="1:27" x14ac:dyDescent="0.25">
      <c r="A1011" s="88"/>
      <c r="B1011" s="30"/>
      <c r="C1011" s="30"/>
      <c r="D1011" s="30"/>
      <c r="E1011" s="30"/>
      <c r="F1011" s="88"/>
      <c r="G1011" s="88"/>
      <c r="H1011" s="30"/>
      <c r="I1011" s="96"/>
      <c r="J1011" s="97"/>
      <c r="K1011" s="102"/>
      <c r="L1011" s="103"/>
      <c r="M1011" s="104"/>
      <c r="N1011" s="105"/>
      <c r="O1011" s="98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</row>
    <row r="1012" spans="1:27" x14ac:dyDescent="0.25">
      <c r="A1012" s="88"/>
      <c r="B1012" s="30"/>
      <c r="C1012" s="30"/>
      <c r="D1012" s="30"/>
      <c r="E1012" s="30"/>
      <c r="F1012" s="88"/>
      <c r="G1012" s="88"/>
      <c r="H1012" s="30"/>
      <c r="I1012" s="96"/>
      <c r="J1012" s="97"/>
      <c r="K1012" s="102"/>
      <c r="L1012" s="103"/>
      <c r="M1012" s="104"/>
      <c r="N1012" s="105"/>
      <c r="O1012" s="98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</row>
    <row r="1013" spans="1:27" x14ac:dyDescent="0.25">
      <c r="A1013" s="88"/>
      <c r="B1013" s="30"/>
      <c r="C1013" s="30"/>
      <c r="D1013" s="30"/>
      <c r="E1013" s="30"/>
      <c r="F1013" s="88"/>
      <c r="G1013" s="88"/>
      <c r="H1013" s="30"/>
      <c r="I1013" s="96"/>
      <c r="J1013" s="97"/>
      <c r="K1013" s="102"/>
      <c r="L1013" s="103"/>
      <c r="M1013" s="104"/>
      <c r="N1013" s="105"/>
      <c r="O1013" s="98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</row>
    <row r="1014" spans="1:27" x14ac:dyDescent="0.25">
      <c r="A1014" s="88"/>
      <c r="B1014" s="30"/>
      <c r="C1014" s="30"/>
      <c r="D1014" s="30"/>
      <c r="E1014" s="30"/>
      <c r="F1014" s="88"/>
      <c r="G1014" s="88"/>
      <c r="H1014" s="30"/>
      <c r="I1014" s="96"/>
      <c r="J1014" s="97"/>
      <c r="K1014" s="102"/>
      <c r="L1014" s="103"/>
      <c r="M1014" s="104"/>
      <c r="N1014" s="105"/>
      <c r="O1014" s="98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</row>
    <row r="1015" spans="1:27" x14ac:dyDescent="0.25">
      <c r="A1015" s="88"/>
      <c r="B1015" s="30"/>
      <c r="C1015" s="30"/>
      <c r="D1015" s="30"/>
      <c r="E1015" s="30"/>
      <c r="F1015" s="88"/>
      <c r="G1015" s="88"/>
      <c r="H1015" s="30"/>
      <c r="I1015" s="96"/>
      <c r="J1015" s="97"/>
      <c r="K1015" s="102"/>
      <c r="L1015" s="103"/>
      <c r="M1015" s="104"/>
      <c r="N1015" s="105"/>
      <c r="O1015" s="98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</row>
    <row r="1016" spans="1:27" x14ac:dyDescent="0.25">
      <c r="A1016" s="88"/>
      <c r="B1016" s="30"/>
      <c r="C1016" s="30"/>
      <c r="D1016" s="30"/>
      <c r="E1016" s="30"/>
      <c r="F1016" s="88"/>
      <c r="G1016" s="88"/>
      <c r="H1016" s="30"/>
      <c r="I1016" s="96"/>
      <c r="J1016" s="97"/>
      <c r="K1016" s="102"/>
      <c r="L1016" s="103"/>
      <c r="M1016" s="104"/>
      <c r="N1016" s="105"/>
      <c r="O1016" s="98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</row>
    <row r="1017" spans="1:27" x14ac:dyDescent="0.25">
      <c r="A1017" s="88"/>
      <c r="B1017" s="30"/>
      <c r="C1017" s="30"/>
      <c r="D1017" s="30"/>
      <c r="E1017" s="30"/>
      <c r="F1017" s="88"/>
      <c r="G1017" s="88"/>
      <c r="H1017" s="30"/>
      <c r="I1017" s="96"/>
      <c r="J1017" s="97"/>
      <c r="K1017" s="102"/>
      <c r="L1017" s="103"/>
      <c r="M1017" s="104"/>
      <c r="N1017" s="105"/>
      <c r="O1017" s="98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</row>
    <row r="1018" spans="1:27" x14ac:dyDescent="0.25">
      <c r="A1018" s="88"/>
      <c r="B1018" s="30"/>
      <c r="C1018" s="30"/>
      <c r="D1018" s="30"/>
      <c r="E1018" s="30"/>
      <c r="F1018" s="88"/>
      <c r="G1018" s="88"/>
      <c r="H1018" s="30"/>
      <c r="I1018" s="96"/>
      <c r="J1018" s="97"/>
      <c r="K1018" s="102"/>
      <c r="L1018" s="103"/>
      <c r="M1018" s="104"/>
      <c r="N1018" s="105"/>
      <c r="O1018" s="98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</row>
    <row r="1019" spans="1:27" x14ac:dyDescent="0.25">
      <c r="A1019" s="88"/>
      <c r="B1019" s="30"/>
      <c r="C1019" s="30"/>
      <c r="D1019" s="30"/>
      <c r="E1019" s="30"/>
      <c r="F1019" s="88"/>
      <c r="G1019" s="88"/>
      <c r="H1019" s="30"/>
      <c r="I1019" s="96"/>
      <c r="J1019" s="97"/>
      <c r="K1019" s="102"/>
      <c r="L1019" s="103"/>
      <c r="M1019" s="104"/>
      <c r="N1019" s="105"/>
      <c r="O1019" s="98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</row>
    <row r="1020" spans="1:27" x14ac:dyDescent="0.25">
      <c r="A1020" s="88"/>
      <c r="B1020" s="30"/>
      <c r="C1020" s="30"/>
      <c r="D1020" s="30"/>
      <c r="E1020" s="30"/>
      <c r="F1020" s="88"/>
      <c r="G1020" s="88"/>
      <c r="H1020" s="30"/>
      <c r="I1020" s="96"/>
      <c r="J1020" s="97"/>
      <c r="K1020" s="102"/>
      <c r="L1020" s="103"/>
      <c r="M1020" s="104"/>
      <c r="N1020" s="105"/>
      <c r="O1020" s="98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</row>
    <row r="1021" spans="1:27" x14ac:dyDescent="0.25">
      <c r="A1021" s="88"/>
      <c r="B1021" s="30"/>
      <c r="C1021" s="30"/>
      <c r="D1021" s="30"/>
      <c r="E1021" s="30"/>
      <c r="F1021" s="88"/>
      <c r="G1021" s="88"/>
      <c r="H1021" s="30"/>
      <c r="I1021" s="96"/>
      <c r="J1021" s="97"/>
      <c r="K1021" s="102"/>
      <c r="L1021" s="103"/>
      <c r="M1021" s="104"/>
      <c r="N1021" s="105"/>
      <c r="O1021" s="98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</row>
    <row r="1022" spans="1:27" x14ac:dyDescent="0.25">
      <c r="A1022" s="88"/>
      <c r="B1022" s="30"/>
      <c r="C1022" s="30"/>
      <c r="D1022" s="30"/>
      <c r="E1022" s="30"/>
      <c r="F1022" s="88"/>
      <c r="G1022" s="88"/>
      <c r="H1022" s="30"/>
      <c r="I1022" s="96"/>
      <c r="J1022" s="97"/>
      <c r="K1022" s="102"/>
      <c r="L1022" s="103"/>
      <c r="M1022" s="104"/>
      <c r="N1022" s="105"/>
      <c r="O1022" s="98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</row>
    <row r="1023" spans="1:27" x14ac:dyDescent="0.25">
      <c r="A1023" s="88"/>
      <c r="B1023" s="30"/>
      <c r="C1023" s="30"/>
      <c r="D1023" s="30"/>
      <c r="E1023" s="30"/>
      <c r="F1023" s="88"/>
      <c r="G1023" s="88"/>
      <c r="H1023" s="30"/>
      <c r="I1023" s="96"/>
      <c r="J1023" s="97"/>
      <c r="K1023" s="102"/>
      <c r="L1023" s="103"/>
      <c r="M1023" s="104"/>
      <c r="N1023" s="105"/>
      <c r="O1023" s="98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</row>
    <row r="1024" spans="1:27" x14ac:dyDescent="0.25">
      <c r="A1024" s="88"/>
      <c r="B1024" s="30"/>
      <c r="C1024" s="30"/>
      <c r="D1024" s="30"/>
      <c r="E1024" s="30"/>
      <c r="F1024" s="88"/>
      <c r="G1024" s="88"/>
      <c r="H1024" s="30"/>
      <c r="I1024" s="96"/>
      <c r="J1024" s="97"/>
      <c r="K1024" s="102"/>
      <c r="L1024" s="103"/>
      <c r="M1024" s="104"/>
      <c r="N1024" s="105"/>
      <c r="O1024" s="98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</row>
    <row r="1025" spans="1:27" x14ac:dyDescent="0.25">
      <c r="A1025" s="88"/>
      <c r="B1025" s="30"/>
      <c r="C1025" s="30"/>
      <c r="D1025" s="30"/>
      <c r="E1025" s="30"/>
      <c r="F1025" s="88"/>
      <c r="G1025" s="88"/>
      <c r="H1025" s="30"/>
      <c r="I1025" s="96"/>
      <c r="J1025" s="97"/>
      <c r="K1025" s="102"/>
      <c r="L1025" s="103"/>
      <c r="M1025" s="104"/>
      <c r="N1025" s="105"/>
      <c r="O1025" s="98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</row>
    <row r="1026" spans="1:27" x14ac:dyDescent="0.25">
      <c r="A1026" s="88"/>
      <c r="B1026" s="30"/>
      <c r="C1026" s="30"/>
      <c r="D1026" s="30"/>
      <c r="E1026" s="30"/>
      <c r="F1026" s="88"/>
      <c r="G1026" s="88"/>
      <c r="H1026" s="30"/>
      <c r="I1026" s="96"/>
      <c r="J1026" s="97"/>
      <c r="K1026" s="102"/>
      <c r="L1026" s="103"/>
      <c r="M1026" s="104"/>
      <c r="N1026" s="105"/>
      <c r="O1026" s="98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</row>
    <row r="1027" spans="1:27" x14ac:dyDescent="0.25">
      <c r="A1027" s="88"/>
      <c r="B1027" s="30"/>
      <c r="C1027" s="30"/>
      <c r="D1027" s="30"/>
      <c r="E1027" s="30"/>
      <c r="F1027" s="88"/>
      <c r="G1027" s="88"/>
      <c r="H1027" s="30"/>
      <c r="I1027" s="96"/>
      <c r="J1027" s="97"/>
      <c r="K1027" s="102"/>
      <c r="L1027" s="103"/>
      <c r="M1027" s="104"/>
      <c r="N1027" s="105"/>
      <c r="O1027" s="98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</row>
    <row r="1028" spans="1:27" x14ac:dyDescent="0.25">
      <c r="A1028" s="88"/>
      <c r="B1028" s="30"/>
      <c r="C1028" s="30"/>
      <c r="D1028" s="30"/>
      <c r="E1028" s="30"/>
      <c r="F1028" s="88"/>
      <c r="G1028" s="88"/>
      <c r="H1028" s="30"/>
      <c r="I1028" s="96"/>
      <c r="J1028" s="97"/>
      <c r="K1028" s="102"/>
      <c r="L1028" s="103"/>
      <c r="M1028" s="104"/>
      <c r="N1028" s="105"/>
      <c r="O1028" s="98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</row>
    <row r="1029" spans="1:27" x14ac:dyDescent="0.25">
      <c r="A1029" s="88"/>
      <c r="B1029" s="30"/>
      <c r="C1029" s="30"/>
      <c r="D1029" s="30"/>
      <c r="E1029" s="30"/>
      <c r="F1029" s="88"/>
      <c r="G1029" s="88"/>
      <c r="H1029" s="30"/>
      <c r="I1029" s="96"/>
      <c r="J1029" s="97"/>
      <c r="K1029" s="102"/>
      <c r="L1029" s="103"/>
      <c r="M1029" s="104"/>
      <c r="N1029" s="105"/>
      <c r="O1029" s="98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</row>
    <row r="1030" spans="1:27" x14ac:dyDescent="0.25">
      <c r="A1030" s="88"/>
      <c r="B1030" s="30"/>
      <c r="C1030" s="30"/>
      <c r="D1030" s="30"/>
      <c r="E1030" s="30"/>
      <c r="F1030" s="88"/>
      <c r="G1030" s="88"/>
      <c r="H1030" s="30"/>
      <c r="I1030" s="96"/>
      <c r="J1030" s="97"/>
      <c r="K1030" s="102"/>
      <c r="L1030" s="103"/>
      <c r="M1030" s="104"/>
      <c r="N1030" s="105"/>
      <c r="O1030" s="98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</row>
    <row r="1031" spans="1:27" x14ac:dyDescent="0.25">
      <c r="A1031" s="88"/>
      <c r="B1031" s="30"/>
      <c r="C1031" s="30"/>
      <c r="D1031" s="30"/>
      <c r="E1031" s="30"/>
      <c r="F1031" s="88"/>
      <c r="G1031" s="88"/>
      <c r="H1031" s="30"/>
      <c r="I1031" s="96"/>
      <c r="J1031" s="97"/>
      <c r="K1031" s="102"/>
      <c r="L1031" s="103"/>
      <c r="M1031" s="104"/>
      <c r="N1031" s="105"/>
      <c r="O1031" s="98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</row>
    <row r="1032" spans="1:27" x14ac:dyDescent="0.25">
      <c r="A1032" s="88"/>
      <c r="B1032" s="30"/>
      <c r="C1032" s="30"/>
      <c r="D1032" s="30"/>
      <c r="E1032" s="30"/>
      <c r="F1032" s="88"/>
      <c r="G1032" s="88"/>
      <c r="H1032" s="30"/>
      <c r="I1032" s="96"/>
      <c r="J1032" s="97"/>
      <c r="K1032" s="102"/>
      <c r="L1032" s="103"/>
      <c r="M1032" s="104"/>
      <c r="N1032" s="105"/>
      <c r="O1032" s="98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</row>
    <row r="1033" spans="1:27" x14ac:dyDescent="0.25">
      <c r="A1033" s="88"/>
      <c r="B1033" s="30"/>
      <c r="C1033" s="30"/>
      <c r="D1033" s="30"/>
      <c r="E1033" s="30"/>
      <c r="F1033" s="88"/>
      <c r="G1033" s="88"/>
      <c r="H1033" s="30"/>
      <c r="I1033" s="96"/>
      <c r="J1033" s="97"/>
      <c r="K1033" s="102"/>
      <c r="L1033" s="103"/>
      <c r="M1033" s="104"/>
      <c r="N1033" s="105"/>
      <c r="O1033" s="98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</row>
    <row r="1034" spans="1:27" x14ac:dyDescent="0.25">
      <c r="A1034" s="88"/>
      <c r="B1034" s="30"/>
      <c r="C1034" s="30"/>
      <c r="D1034" s="30"/>
      <c r="E1034" s="30"/>
      <c r="F1034" s="88"/>
      <c r="G1034" s="88"/>
      <c r="H1034" s="30"/>
      <c r="I1034" s="96"/>
      <c r="J1034" s="97"/>
      <c r="K1034" s="102"/>
      <c r="L1034" s="103"/>
      <c r="M1034" s="104"/>
      <c r="N1034" s="105"/>
      <c r="O1034" s="98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</row>
    <row r="1035" spans="1:27" x14ac:dyDescent="0.25">
      <c r="A1035" s="88"/>
      <c r="B1035" s="30"/>
      <c r="C1035" s="30"/>
      <c r="D1035" s="30"/>
      <c r="E1035" s="30"/>
      <c r="F1035" s="88"/>
      <c r="G1035" s="88"/>
      <c r="H1035" s="30"/>
      <c r="I1035" s="96"/>
      <c r="J1035" s="97"/>
      <c r="K1035" s="102"/>
      <c r="L1035" s="103"/>
      <c r="M1035" s="104"/>
      <c r="N1035" s="105"/>
      <c r="O1035" s="98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</row>
    <row r="1036" spans="1:27" x14ac:dyDescent="0.25">
      <c r="A1036" s="88"/>
      <c r="B1036" s="30"/>
      <c r="C1036" s="30"/>
      <c r="D1036" s="30"/>
      <c r="E1036" s="30"/>
      <c r="F1036" s="88"/>
      <c r="G1036" s="88"/>
      <c r="H1036" s="30"/>
      <c r="I1036" s="96"/>
      <c r="J1036" s="97"/>
      <c r="K1036" s="102"/>
      <c r="L1036" s="103"/>
      <c r="M1036" s="104"/>
      <c r="N1036" s="105"/>
      <c r="O1036" s="98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</row>
    <row r="1037" spans="1:27" x14ac:dyDescent="0.25">
      <c r="A1037" s="88"/>
      <c r="B1037" s="30"/>
      <c r="C1037" s="30"/>
      <c r="D1037" s="30"/>
      <c r="E1037" s="30"/>
      <c r="F1037" s="88"/>
      <c r="G1037" s="88"/>
      <c r="H1037" s="30"/>
      <c r="I1037" s="96"/>
      <c r="J1037" s="97"/>
      <c r="K1037" s="102"/>
      <c r="L1037" s="103"/>
      <c r="M1037" s="104"/>
      <c r="N1037" s="105"/>
      <c r="O1037" s="98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</row>
    <row r="1038" spans="1:27" x14ac:dyDescent="0.25">
      <c r="A1038" s="88"/>
      <c r="B1038" s="30"/>
      <c r="C1038" s="30"/>
      <c r="D1038" s="30"/>
      <c r="E1038" s="30"/>
      <c r="F1038" s="88"/>
      <c r="G1038" s="88"/>
      <c r="H1038" s="30"/>
      <c r="I1038" s="96"/>
      <c r="J1038" s="97"/>
      <c r="K1038" s="102"/>
      <c r="L1038" s="103"/>
      <c r="M1038" s="104"/>
      <c r="N1038" s="105"/>
      <c r="O1038" s="98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</row>
    <row r="1039" spans="1:27" x14ac:dyDescent="0.25">
      <c r="A1039" s="88"/>
      <c r="B1039" s="30"/>
      <c r="C1039" s="30"/>
      <c r="D1039" s="30"/>
      <c r="E1039" s="30"/>
      <c r="F1039" s="88"/>
      <c r="G1039" s="88"/>
      <c r="H1039" s="30"/>
      <c r="I1039" s="96"/>
      <c r="J1039" s="97"/>
      <c r="K1039" s="102"/>
      <c r="L1039" s="103"/>
      <c r="M1039" s="104"/>
      <c r="N1039" s="105"/>
      <c r="O1039" s="98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</row>
    <row r="1040" spans="1:27" x14ac:dyDescent="0.25">
      <c r="A1040" s="88"/>
      <c r="B1040" s="30"/>
      <c r="C1040" s="30"/>
      <c r="D1040" s="30"/>
      <c r="E1040" s="30"/>
      <c r="F1040" s="88"/>
      <c r="G1040" s="88"/>
      <c r="H1040" s="30"/>
      <c r="I1040" s="96"/>
      <c r="J1040" s="97"/>
      <c r="K1040" s="102"/>
      <c r="L1040" s="103"/>
      <c r="M1040" s="104"/>
      <c r="N1040" s="105"/>
      <c r="O1040" s="98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</row>
    <row r="1041" spans="1:27" x14ac:dyDescent="0.25">
      <c r="A1041" s="88"/>
      <c r="B1041" s="30"/>
      <c r="C1041" s="30"/>
      <c r="D1041" s="30"/>
      <c r="E1041" s="30"/>
      <c r="F1041" s="88"/>
      <c r="G1041" s="88"/>
      <c r="H1041" s="30"/>
      <c r="I1041" s="96"/>
      <c r="J1041" s="97"/>
      <c r="K1041" s="102"/>
      <c r="L1041" s="103"/>
      <c r="M1041" s="104"/>
      <c r="N1041" s="105"/>
      <c r="O1041" s="98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</row>
    <row r="1042" spans="1:27" x14ac:dyDescent="0.25">
      <c r="A1042" s="88"/>
      <c r="B1042" s="30"/>
      <c r="C1042" s="30"/>
      <c r="D1042" s="30"/>
      <c r="E1042" s="30"/>
      <c r="F1042" s="88"/>
      <c r="G1042" s="88"/>
      <c r="H1042" s="30"/>
      <c r="I1042" s="96"/>
      <c r="J1042" s="97"/>
      <c r="K1042" s="102"/>
      <c r="L1042" s="103"/>
      <c r="M1042" s="104"/>
      <c r="N1042" s="105"/>
      <c r="O1042" s="98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</row>
    <row r="1043" spans="1:27" x14ac:dyDescent="0.25">
      <c r="A1043" s="88"/>
      <c r="B1043" s="30"/>
      <c r="C1043" s="30"/>
      <c r="D1043" s="30"/>
      <c r="E1043" s="30"/>
      <c r="F1043" s="88"/>
      <c r="G1043" s="88"/>
      <c r="H1043" s="30"/>
      <c r="I1043" s="96"/>
      <c r="J1043" s="97"/>
      <c r="K1043" s="102"/>
      <c r="L1043" s="103"/>
      <c r="M1043" s="104"/>
      <c r="N1043" s="105"/>
      <c r="O1043" s="98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</row>
    <row r="1044" spans="1:27" x14ac:dyDescent="0.25">
      <c r="A1044" s="88"/>
      <c r="B1044" s="30"/>
      <c r="C1044" s="30"/>
      <c r="D1044" s="30"/>
      <c r="E1044" s="30"/>
      <c r="F1044" s="88"/>
      <c r="G1044" s="88"/>
      <c r="H1044" s="30"/>
      <c r="I1044" s="96"/>
      <c r="J1044" s="97"/>
      <c r="K1044" s="102"/>
      <c r="L1044" s="103"/>
      <c r="M1044" s="104"/>
      <c r="N1044" s="105"/>
      <c r="O1044" s="98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</row>
    <row r="1045" spans="1:27" x14ac:dyDescent="0.25">
      <c r="A1045" s="88"/>
      <c r="B1045" s="30"/>
      <c r="C1045" s="30"/>
      <c r="D1045" s="30"/>
      <c r="E1045" s="30"/>
      <c r="F1045" s="88"/>
      <c r="G1045" s="88"/>
      <c r="H1045" s="30"/>
      <c r="I1045" s="96"/>
      <c r="J1045" s="97"/>
      <c r="K1045" s="102"/>
      <c r="L1045" s="103"/>
      <c r="M1045" s="104"/>
      <c r="N1045" s="105"/>
      <c r="O1045" s="98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</row>
    <row r="1046" spans="1:27" x14ac:dyDescent="0.25">
      <c r="A1046" s="88"/>
      <c r="B1046" s="30"/>
      <c r="C1046" s="30"/>
      <c r="D1046" s="30"/>
      <c r="E1046" s="30"/>
      <c r="F1046" s="88"/>
      <c r="G1046" s="88"/>
      <c r="H1046" s="30"/>
      <c r="I1046" s="96"/>
      <c r="J1046" s="97"/>
      <c r="K1046" s="102"/>
      <c r="L1046" s="103"/>
      <c r="M1046" s="104"/>
      <c r="N1046" s="105"/>
      <c r="O1046" s="98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</row>
    <row r="1047" spans="1:27" x14ac:dyDescent="0.25">
      <c r="A1047" s="88"/>
      <c r="B1047" s="30"/>
      <c r="C1047" s="30"/>
      <c r="D1047" s="30"/>
      <c r="E1047" s="30"/>
      <c r="F1047" s="88"/>
      <c r="G1047" s="88"/>
      <c r="H1047" s="30"/>
      <c r="I1047" s="96"/>
      <c r="J1047" s="97"/>
      <c r="K1047" s="102"/>
      <c r="L1047" s="103"/>
      <c r="M1047" s="104"/>
      <c r="N1047" s="105"/>
      <c r="O1047" s="98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</row>
    <row r="1048" spans="1:27" x14ac:dyDescent="0.25">
      <c r="A1048" s="88"/>
      <c r="B1048" s="30"/>
      <c r="C1048" s="30"/>
      <c r="D1048" s="30"/>
      <c r="E1048" s="30"/>
      <c r="F1048" s="88"/>
      <c r="G1048" s="88"/>
      <c r="H1048" s="30"/>
      <c r="I1048" s="96"/>
      <c r="J1048" s="97"/>
      <c r="K1048" s="102"/>
      <c r="L1048" s="103"/>
      <c r="M1048" s="104"/>
      <c r="N1048" s="105"/>
      <c r="O1048" s="98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</row>
    <row r="1049" spans="1:27" x14ac:dyDescent="0.25">
      <c r="A1049" s="88"/>
      <c r="B1049" s="30"/>
      <c r="C1049" s="30"/>
      <c r="D1049" s="30"/>
      <c r="E1049" s="30"/>
      <c r="F1049" s="88"/>
      <c r="G1049" s="88"/>
      <c r="H1049" s="30"/>
      <c r="I1049" s="96"/>
      <c r="J1049" s="97"/>
      <c r="K1049" s="102"/>
      <c r="L1049" s="103"/>
      <c r="M1049" s="104"/>
      <c r="N1049" s="105"/>
      <c r="O1049" s="98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</row>
    <row r="1050" spans="1:27" x14ac:dyDescent="0.25">
      <c r="A1050" s="88"/>
      <c r="B1050" s="30"/>
      <c r="C1050" s="30"/>
      <c r="D1050" s="30"/>
      <c r="E1050" s="30"/>
      <c r="F1050" s="88"/>
      <c r="G1050" s="88"/>
      <c r="H1050" s="30"/>
      <c r="I1050" s="96"/>
      <c r="J1050" s="97"/>
      <c r="K1050" s="102"/>
      <c r="L1050" s="103"/>
      <c r="M1050" s="104"/>
      <c r="N1050" s="105"/>
      <c r="O1050" s="98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</row>
    <row r="1051" spans="1:27" x14ac:dyDescent="0.25">
      <c r="A1051" s="88"/>
      <c r="B1051" s="30"/>
      <c r="C1051" s="30"/>
      <c r="D1051" s="30"/>
      <c r="E1051" s="30"/>
      <c r="F1051" s="88"/>
      <c r="G1051" s="88"/>
      <c r="H1051" s="30"/>
      <c r="I1051" s="96"/>
      <c r="J1051" s="97"/>
      <c r="K1051" s="102"/>
      <c r="L1051" s="103"/>
      <c r="M1051" s="104"/>
      <c r="N1051" s="105"/>
      <c r="O1051" s="98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</row>
    <row r="1052" spans="1:27" x14ac:dyDescent="0.25">
      <c r="A1052" s="88"/>
      <c r="B1052" s="30"/>
      <c r="C1052" s="30"/>
      <c r="D1052" s="30"/>
      <c r="E1052" s="30"/>
      <c r="F1052" s="88"/>
      <c r="G1052" s="88"/>
      <c r="H1052" s="30"/>
      <c r="I1052" s="96"/>
      <c r="J1052" s="97"/>
      <c r="K1052" s="102"/>
      <c r="L1052" s="103"/>
      <c r="M1052" s="104"/>
      <c r="N1052" s="105"/>
      <c r="O1052" s="98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</row>
    <row r="1053" spans="1:27" x14ac:dyDescent="0.25">
      <c r="A1053" s="88"/>
      <c r="B1053" s="30"/>
      <c r="C1053" s="30"/>
      <c r="D1053" s="30"/>
      <c r="E1053" s="30"/>
      <c r="F1053" s="88"/>
      <c r="G1053" s="88"/>
      <c r="H1053" s="30"/>
      <c r="I1053" s="96"/>
      <c r="J1053" s="97"/>
      <c r="K1053" s="102"/>
      <c r="L1053" s="103"/>
      <c r="M1053" s="104"/>
      <c r="N1053" s="105"/>
      <c r="O1053" s="98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</row>
    <row r="1054" spans="1:27" x14ac:dyDescent="0.25">
      <c r="A1054" s="88"/>
      <c r="B1054" s="30"/>
      <c r="C1054" s="30"/>
      <c r="D1054" s="30"/>
      <c r="E1054" s="30"/>
      <c r="F1054" s="88"/>
      <c r="G1054" s="88"/>
      <c r="H1054" s="30"/>
      <c r="I1054" s="96"/>
      <c r="J1054" s="97"/>
      <c r="K1054" s="102"/>
      <c r="L1054" s="103"/>
      <c r="M1054" s="104"/>
      <c r="N1054" s="105"/>
      <c r="O1054" s="98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</row>
    <row r="1055" spans="1:27" x14ac:dyDescent="0.25">
      <c r="A1055" s="88"/>
      <c r="B1055" s="30"/>
      <c r="C1055" s="30"/>
      <c r="D1055" s="30"/>
      <c r="E1055" s="30"/>
      <c r="F1055" s="88"/>
      <c r="G1055" s="88"/>
      <c r="H1055" s="30"/>
      <c r="I1055" s="96"/>
      <c r="J1055" s="97"/>
      <c r="K1055" s="102"/>
      <c r="L1055" s="103"/>
      <c r="M1055" s="104"/>
      <c r="N1055" s="105"/>
      <c r="O1055" s="98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</row>
    <row r="1056" spans="1:27" x14ac:dyDescent="0.25">
      <c r="A1056" s="88"/>
      <c r="B1056" s="30"/>
      <c r="C1056" s="30"/>
      <c r="D1056" s="30"/>
      <c r="E1056" s="30"/>
      <c r="F1056" s="88"/>
      <c r="G1056" s="88"/>
      <c r="H1056" s="30"/>
      <c r="I1056" s="96"/>
      <c r="J1056" s="97"/>
      <c r="K1056" s="102"/>
      <c r="L1056" s="103"/>
      <c r="M1056" s="104"/>
      <c r="N1056" s="105"/>
      <c r="O1056" s="98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</row>
    <row r="1057" spans="1:27" x14ac:dyDescent="0.25">
      <c r="A1057" s="88"/>
      <c r="B1057" s="30"/>
      <c r="C1057" s="30"/>
      <c r="D1057" s="30"/>
      <c r="E1057" s="30"/>
      <c r="F1057" s="88"/>
      <c r="G1057" s="88"/>
      <c r="H1057" s="30"/>
      <c r="I1057" s="96"/>
      <c r="J1057" s="97"/>
      <c r="K1057" s="102"/>
      <c r="L1057" s="103"/>
      <c r="M1057" s="104"/>
      <c r="N1057" s="105"/>
      <c r="O1057" s="98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</row>
    <row r="1058" spans="1:27" x14ac:dyDescent="0.25">
      <c r="A1058" s="88"/>
      <c r="B1058" s="30"/>
      <c r="C1058" s="30"/>
      <c r="D1058" s="30"/>
      <c r="E1058" s="30"/>
      <c r="F1058" s="88"/>
      <c r="G1058" s="88"/>
      <c r="H1058" s="30"/>
      <c r="I1058" s="96"/>
      <c r="J1058" s="97"/>
      <c r="K1058" s="102"/>
      <c r="L1058" s="103"/>
      <c r="M1058" s="104"/>
      <c r="N1058" s="105"/>
      <c r="O1058" s="98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</row>
    <row r="1059" spans="1:27" x14ac:dyDescent="0.25">
      <c r="A1059" s="88"/>
      <c r="B1059" s="30"/>
      <c r="C1059" s="30"/>
      <c r="D1059" s="30"/>
      <c r="E1059" s="30"/>
      <c r="F1059" s="88"/>
      <c r="G1059" s="88"/>
      <c r="H1059" s="30"/>
      <c r="I1059" s="96"/>
      <c r="J1059" s="97"/>
      <c r="K1059" s="102"/>
      <c r="L1059" s="103"/>
      <c r="M1059" s="104"/>
      <c r="N1059" s="105"/>
      <c r="O1059" s="98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</row>
    <row r="1060" spans="1:27" x14ac:dyDescent="0.25">
      <c r="A1060" s="88"/>
      <c r="B1060" s="30"/>
      <c r="C1060" s="30"/>
      <c r="D1060" s="30"/>
      <c r="E1060" s="30"/>
      <c r="F1060" s="88"/>
      <c r="G1060" s="88"/>
      <c r="H1060" s="30"/>
      <c r="I1060" s="96"/>
      <c r="J1060" s="97"/>
      <c r="K1060" s="102"/>
      <c r="L1060" s="103"/>
      <c r="M1060" s="104"/>
      <c r="N1060" s="105"/>
      <c r="O1060" s="98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</row>
    <row r="1061" spans="1:27" x14ac:dyDescent="0.25">
      <c r="A1061" s="88"/>
      <c r="B1061" s="30"/>
      <c r="C1061" s="30"/>
      <c r="D1061" s="30"/>
      <c r="E1061" s="30"/>
      <c r="F1061" s="88"/>
      <c r="G1061" s="88"/>
      <c r="H1061" s="30"/>
      <c r="I1061" s="96"/>
      <c r="J1061" s="97"/>
      <c r="K1061" s="102"/>
      <c r="L1061" s="103"/>
      <c r="M1061" s="104"/>
      <c r="N1061" s="105"/>
      <c r="O1061" s="98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</row>
    <row r="1062" spans="1:27" x14ac:dyDescent="0.25">
      <c r="A1062" s="88"/>
      <c r="B1062" s="30"/>
      <c r="C1062" s="30"/>
      <c r="D1062" s="30"/>
      <c r="E1062" s="30"/>
      <c r="F1062" s="88"/>
      <c r="G1062" s="88"/>
      <c r="H1062" s="30"/>
      <c r="I1062" s="96"/>
      <c r="J1062" s="97"/>
      <c r="K1062" s="102"/>
      <c r="L1062" s="103"/>
      <c r="M1062" s="104"/>
      <c r="N1062" s="105"/>
      <c r="O1062" s="98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</row>
    <row r="1063" spans="1:27" x14ac:dyDescent="0.25">
      <c r="A1063" s="88"/>
      <c r="B1063" s="30"/>
      <c r="C1063" s="30"/>
      <c r="D1063" s="30"/>
      <c r="E1063" s="30"/>
      <c r="F1063" s="88"/>
      <c r="G1063" s="88"/>
      <c r="H1063" s="30"/>
      <c r="I1063" s="96"/>
      <c r="J1063" s="97"/>
      <c r="K1063" s="102"/>
      <c r="L1063" s="103"/>
      <c r="M1063" s="104"/>
      <c r="N1063" s="105"/>
      <c r="O1063" s="98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</row>
    <row r="1064" spans="1:27" x14ac:dyDescent="0.25">
      <c r="A1064" s="88"/>
      <c r="B1064" s="30"/>
      <c r="C1064" s="30"/>
      <c r="D1064" s="30"/>
      <c r="E1064" s="30"/>
      <c r="F1064" s="88"/>
      <c r="G1064" s="88"/>
      <c r="H1064" s="30"/>
      <c r="I1064" s="96"/>
      <c r="J1064" s="97"/>
      <c r="K1064" s="102"/>
      <c r="L1064" s="103"/>
      <c r="M1064" s="104"/>
      <c r="N1064" s="105"/>
      <c r="O1064" s="98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</row>
    <row r="1065" spans="1:27" x14ac:dyDescent="0.25">
      <c r="A1065" s="88"/>
      <c r="B1065" s="30"/>
      <c r="C1065" s="30"/>
      <c r="D1065" s="30"/>
      <c r="E1065" s="30"/>
      <c r="F1065" s="88"/>
      <c r="G1065" s="88"/>
      <c r="H1065" s="30"/>
      <c r="I1065" s="96"/>
      <c r="J1065" s="97"/>
      <c r="K1065" s="102"/>
      <c r="L1065" s="103"/>
      <c r="M1065" s="104"/>
      <c r="N1065" s="105"/>
      <c r="O1065" s="98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</row>
    <row r="1066" spans="1:27" x14ac:dyDescent="0.25">
      <c r="A1066" s="88"/>
      <c r="B1066" s="30"/>
      <c r="C1066" s="30"/>
      <c r="D1066" s="30"/>
      <c r="E1066" s="30"/>
      <c r="F1066" s="88"/>
      <c r="G1066" s="88"/>
      <c r="H1066" s="30"/>
      <c r="I1066" s="96"/>
      <c r="J1066" s="97"/>
      <c r="K1066" s="102"/>
      <c r="L1066" s="103"/>
      <c r="M1066" s="104"/>
      <c r="N1066" s="105"/>
      <c r="O1066" s="98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</row>
    <row r="1067" spans="1:27" x14ac:dyDescent="0.25">
      <c r="A1067" s="88"/>
      <c r="B1067" s="30"/>
      <c r="C1067" s="30"/>
      <c r="D1067" s="30"/>
      <c r="E1067" s="30"/>
      <c r="F1067" s="88"/>
      <c r="G1067" s="88"/>
      <c r="H1067" s="30"/>
      <c r="I1067" s="96"/>
      <c r="J1067" s="97"/>
      <c r="K1067" s="102"/>
      <c r="L1067" s="103"/>
      <c r="M1067" s="104"/>
      <c r="N1067" s="105"/>
      <c r="O1067" s="98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</row>
    <row r="1068" spans="1:27" x14ac:dyDescent="0.25">
      <c r="A1068" s="88"/>
      <c r="B1068" s="30"/>
      <c r="C1068" s="30"/>
      <c r="D1068" s="30"/>
      <c r="E1068" s="30"/>
      <c r="F1068" s="88"/>
      <c r="G1068" s="88"/>
      <c r="H1068" s="30"/>
      <c r="I1068" s="96"/>
      <c r="J1068" s="97"/>
      <c r="K1068" s="102"/>
      <c r="L1068" s="103"/>
      <c r="M1068" s="104"/>
      <c r="N1068" s="105"/>
      <c r="O1068" s="98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</row>
    <row r="1069" spans="1:27" x14ac:dyDescent="0.25">
      <c r="A1069" s="88"/>
      <c r="B1069" s="30"/>
      <c r="C1069" s="30"/>
      <c r="D1069" s="30"/>
      <c r="E1069" s="30"/>
      <c r="F1069" s="88"/>
      <c r="G1069" s="88"/>
      <c r="H1069" s="30"/>
      <c r="I1069" s="96"/>
      <c r="J1069" s="97"/>
      <c r="K1069" s="102"/>
      <c r="L1069" s="103"/>
      <c r="M1069" s="104"/>
      <c r="N1069" s="105"/>
      <c r="O1069" s="98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</row>
    <row r="1070" spans="1:27" x14ac:dyDescent="0.25">
      <c r="A1070" s="88"/>
      <c r="B1070" s="30"/>
      <c r="C1070" s="30"/>
      <c r="D1070" s="30"/>
      <c r="E1070" s="30"/>
      <c r="F1070" s="88"/>
      <c r="G1070" s="88"/>
      <c r="H1070" s="30"/>
      <c r="I1070" s="96"/>
      <c r="J1070" s="97"/>
      <c r="K1070" s="102"/>
      <c r="L1070" s="103"/>
      <c r="M1070" s="104"/>
      <c r="N1070" s="105"/>
      <c r="O1070" s="98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</row>
    <row r="1071" spans="1:27" x14ac:dyDescent="0.25">
      <c r="A1071" s="88"/>
      <c r="B1071" s="30"/>
      <c r="C1071" s="30"/>
      <c r="D1071" s="30"/>
      <c r="E1071" s="30"/>
      <c r="F1071" s="88"/>
      <c r="G1071" s="88"/>
      <c r="H1071" s="30"/>
      <c r="I1071" s="96"/>
      <c r="J1071" s="97"/>
      <c r="K1071" s="102"/>
      <c r="L1071" s="103"/>
      <c r="M1071" s="104"/>
      <c r="N1071" s="105"/>
      <c r="O1071" s="98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</row>
    <row r="1072" spans="1:27" x14ac:dyDescent="0.25">
      <c r="A1072" s="88"/>
      <c r="B1072" s="30"/>
      <c r="C1072" s="30"/>
      <c r="D1072" s="30"/>
      <c r="E1072" s="30"/>
      <c r="F1072" s="88"/>
      <c r="G1072" s="88"/>
      <c r="H1072" s="30"/>
      <c r="I1072" s="96"/>
      <c r="J1072" s="97"/>
      <c r="K1072" s="102"/>
      <c r="L1072" s="103"/>
      <c r="M1072" s="104"/>
      <c r="N1072" s="105"/>
      <c r="O1072" s="98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</row>
    <row r="1073" spans="1:27" x14ac:dyDescent="0.25">
      <c r="A1073" s="88"/>
      <c r="B1073" s="30"/>
      <c r="C1073" s="30"/>
      <c r="D1073" s="30"/>
      <c r="E1073" s="30"/>
      <c r="F1073" s="88"/>
      <c r="G1073" s="88"/>
      <c r="H1073" s="30"/>
      <c r="I1073" s="96"/>
      <c r="J1073" s="97"/>
      <c r="K1073" s="102"/>
      <c r="L1073" s="103"/>
      <c r="M1073" s="104"/>
      <c r="N1073" s="105"/>
      <c r="O1073" s="98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</row>
    <row r="1074" spans="1:27" x14ac:dyDescent="0.25">
      <c r="A1074" s="88"/>
      <c r="B1074" s="30"/>
      <c r="C1074" s="30"/>
      <c r="D1074" s="30"/>
      <c r="E1074" s="30"/>
      <c r="F1074" s="88"/>
      <c r="G1074" s="88"/>
      <c r="H1074" s="30"/>
      <c r="I1074" s="96"/>
      <c r="J1074" s="97"/>
      <c r="K1074" s="102"/>
      <c r="L1074" s="103"/>
      <c r="M1074" s="104"/>
      <c r="N1074" s="105"/>
      <c r="O1074" s="98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</row>
    <row r="1075" spans="1:27" x14ac:dyDescent="0.25">
      <c r="A1075" s="88"/>
      <c r="B1075" s="30"/>
      <c r="C1075" s="30"/>
      <c r="D1075" s="30"/>
      <c r="E1075" s="30"/>
      <c r="F1075" s="88"/>
      <c r="G1075" s="88"/>
      <c r="H1075" s="30"/>
      <c r="I1075" s="96"/>
      <c r="J1075" s="97"/>
      <c r="K1075" s="102"/>
      <c r="L1075" s="103"/>
      <c r="M1075" s="104"/>
      <c r="N1075" s="105"/>
      <c r="O1075" s="98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</row>
    <row r="1076" spans="1:27" x14ac:dyDescent="0.25">
      <c r="A1076" s="88"/>
      <c r="B1076" s="30"/>
      <c r="C1076" s="30"/>
      <c r="D1076" s="30"/>
      <c r="E1076" s="30"/>
      <c r="F1076" s="88"/>
      <c r="G1076" s="88"/>
      <c r="H1076" s="30"/>
      <c r="I1076" s="96"/>
      <c r="J1076" s="97"/>
      <c r="K1076" s="102"/>
      <c r="L1076" s="103"/>
      <c r="M1076" s="104"/>
      <c r="N1076" s="105"/>
      <c r="O1076" s="98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</row>
    <row r="1077" spans="1:27" x14ac:dyDescent="0.25">
      <c r="A1077" s="88"/>
      <c r="B1077" s="30"/>
      <c r="C1077" s="30"/>
      <c r="D1077" s="30"/>
      <c r="E1077" s="30"/>
      <c r="F1077" s="88"/>
      <c r="G1077" s="88"/>
      <c r="H1077" s="30"/>
      <c r="I1077" s="96"/>
      <c r="J1077" s="97"/>
      <c r="K1077" s="102"/>
      <c r="L1077" s="103"/>
      <c r="M1077" s="104"/>
      <c r="N1077" s="105"/>
      <c r="O1077" s="98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</row>
    <row r="1078" spans="1:27" x14ac:dyDescent="0.25">
      <c r="A1078" s="88"/>
      <c r="B1078" s="30"/>
      <c r="C1078" s="30"/>
      <c r="D1078" s="30"/>
      <c r="E1078" s="30"/>
      <c r="F1078" s="88"/>
      <c r="G1078" s="88"/>
      <c r="H1078" s="30"/>
      <c r="I1078" s="96"/>
      <c r="J1078" s="97"/>
      <c r="K1078" s="102"/>
      <c r="L1078" s="103"/>
      <c r="M1078" s="104"/>
      <c r="N1078" s="105"/>
      <c r="O1078" s="98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</row>
    <row r="1079" spans="1:27" x14ac:dyDescent="0.25">
      <c r="A1079" s="88"/>
      <c r="B1079" s="30"/>
      <c r="C1079" s="30"/>
      <c r="D1079" s="30"/>
      <c r="E1079" s="30"/>
      <c r="F1079" s="88"/>
      <c r="G1079" s="88"/>
      <c r="H1079" s="30"/>
      <c r="I1079" s="96"/>
      <c r="J1079" s="97"/>
      <c r="K1079" s="102"/>
      <c r="L1079" s="103"/>
      <c r="M1079" s="104"/>
      <c r="N1079" s="105"/>
      <c r="O1079" s="98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</row>
    <row r="1080" spans="1:27" x14ac:dyDescent="0.25">
      <c r="A1080" s="88"/>
      <c r="B1080" s="30"/>
      <c r="C1080" s="30"/>
      <c r="D1080" s="30"/>
      <c r="E1080" s="30"/>
      <c r="F1080" s="88"/>
      <c r="G1080" s="88"/>
      <c r="H1080" s="30"/>
      <c r="I1080" s="96"/>
      <c r="J1080" s="97"/>
      <c r="K1080" s="102"/>
      <c r="L1080" s="103"/>
      <c r="M1080" s="104"/>
      <c r="N1080" s="105"/>
      <c r="O1080" s="98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</row>
    <row r="1081" spans="1:27" x14ac:dyDescent="0.25">
      <c r="A1081" s="88"/>
      <c r="B1081" s="30"/>
      <c r="C1081" s="30"/>
      <c r="D1081" s="30"/>
      <c r="E1081" s="30"/>
      <c r="F1081" s="88"/>
      <c r="G1081" s="88"/>
      <c r="H1081" s="30"/>
      <c r="I1081" s="96"/>
      <c r="J1081" s="97"/>
      <c r="K1081" s="102"/>
      <c r="L1081" s="103"/>
      <c r="M1081" s="104"/>
      <c r="N1081" s="105"/>
      <c r="O1081" s="98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</row>
    <row r="1082" spans="1:27" x14ac:dyDescent="0.25">
      <c r="A1082" s="88"/>
      <c r="B1082" s="30"/>
      <c r="C1082" s="30"/>
      <c r="D1082" s="30"/>
      <c r="E1082" s="30"/>
      <c r="F1082" s="88"/>
      <c r="G1082" s="88"/>
      <c r="H1082" s="30"/>
      <c r="I1082" s="96"/>
      <c r="J1082" s="97"/>
      <c r="K1082" s="102"/>
      <c r="L1082" s="103"/>
      <c r="M1082" s="104"/>
      <c r="N1082" s="105"/>
      <c r="O1082" s="98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</row>
    <row r="1083" spans="1:27" x14ac:dyDescent="0.25">
      <c r="A1083" s="88"/>
      <c r="B1083" s="30"/>
      <c r="C1083" s="30"/>
      <c r="D1083" s="30"/>
      <c r="E1083" s="30"/>
      <c r="F1083" s="88"/>
      <c r="G1083" s="88"/>
      <c r="H1083" s="30"/>
      <c r="I1083" s="96"/>
      <c r="J1083" s="97"/>
      <c r="K1083" s="102"/>
      <c r="L1083" s="103"/>
      <c r="M1083" s="104"/>
      <c r="N1083" s="105"/>
      <c r="O1083" s="98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</row>
    <row r="1084" spans="1:27" x14ac:dyDescent="0.25">
      <c r="A1084" s="88"/>
      <c r="B1084" s="30"/>
      <c r="C1084" s="30"/>
      <c r="D1084" s="30"/>
      <c r="E1084" s="30"/>
      <c r="F1084" s="88"/>
      <c r="G1084" s="88"/>
      <c r="H1084" s="30"/>
      <c r="I1084" s="96"/>
      <c r="J1084" s="97"/>
      <c r="K1084" s="102"/>
      <c r="L1084" s="103"/>
      <c r="M1084" s="104"/>
      <c r="N1084" s="105"/>
      <c r="O1084" s="98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</row>
    <row r="1085" spans="1:27" x14ac:dyDescent="0.25">
      <c r="A1085" s="88"/>
      <c r="B1085" s="30"/>
      <c r="C1085" s="30"/>
      <c r="D1085" s="30"/>
      <c r="E1085" s="30"/>
      <c r="F1085" s="88"/>
      <c r="G1085" s="88"/>
      <c r="H1085" s="30"/>
      <c r="I1085" s="96"/>
      <c r="J1085" s="97"/>
      <c r="K1085" s="102"/>
      <c r="L1085" s="103"/>
      <c r="M1085" s="104"/>
      <c r="N1085" s="105"/>
      <c r="O1085" s="98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</row>
    <row r="1086" spans="1:27" x14ac:dyDescent="0.25">
      <c r="A1086" s="88"/>
      <c r="B1086" s="30"/>
      <c r="C1086" s="30"/>
      <c r="D1086" s="30"/>
      <c r="E1086" s="30"/>
      <c r="F1086" s="88"/>
      <c r="G1086" s="88"/>
      <c r="H1086" s="30"/>
      <c r="I1086" s="96"/>
      <c r="J1086" s="97"/>
      <c r="K1086" s="102"/>
      <c r="L1086" s="103"/>
      <c r="M1086" s="104"/>
      <c r="N1086" s="105"/>
      <c r="O1086" s="98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</row>
    <row r="1087" spans="1:27" x14ac:dyDescent="0.25">
      <c r="A1087" s="88"/>
      <c r="B1087" s="30"/>
      <c r="C1087" s="30"/>
      <c r="D1087" s="30"/>
      <c r="E1087" s="30"/>
      <c r="F1087" s="88"/>
      <c r="G1087" s="88"/>
      <c r="H1087" s="30"/>
      <c r="I1087" s="96"/>
      <c r="J1087" s="97"/>
      <c r="K1087" s="102"/>
      <c r="L1087" s="103"/>
      <c r="M1087" s="104"/>
      <c r="N1087" s="105"/>
      <c r="O1087" s="98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</row>
    <row r="1088" spans="1:27" x14ac:dyDescent="0.25">
      <c r="A1088" s="88"/>
      <c r="B1088" s="30"/>
      <c r="C1088" s="30"/>
      <c r="D1088" s="30"/>
      <c r="E1088" s="30"/>
      <c r="F1088" s="88"/>
      <c r="G1088" s="88"/>
      <c r="H1088" s="30"/>
      <c r="I1088" s="96"/>
      <c r="J1088" s="97"/>
      <c r="K1088" s="102"/>
      <c r="L1088" s="103"/>
      <c r="M1088" s="104"/>
      <c r="N1088" s="105"/>
      <c r="O1088" s="98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</row>
    <row r="1089" spans="1:27" x14ac:dyDescent="0.25">
      <c r="A1089" s="88"/>
      <c r="B1089" s="30"/>
      <c r="C1089" s="30"/>
      <c r="D1089" s="30"/>
      <c r="E1089" s="30"/>
      <c r="F1089" s="88"/>
      <c r="G1089" s="88"/>
      <c r="H1089" s="30"/>
      <c r="I1089" s="96"/>
      <c r="J1089" s="97"/>
      <c r="K1089" s="102"/>
      <c r="L1089" s="103"/>
      <c r="M1089" s="104"/>
      <c r="N1089" s="105"/>
      <c r="O1089" s="98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</row>
    <row r="1090" spans="1:27" x14ac:dyDescent="0.25">
      <c r="A1090" s="88"/>
      <c r="B1090" s="30"/>
      <c r="C1090" s="30"/>
      <c r="D1090" s="30"/>
      <c r="E1090" s="30"/>
      <c r="F1090" s="88"/>
      <c r="G1090" s="88"/>
      <c r="H1090" s="30"/>
      <c r="I1090" s="96"/>
      <c r="J1090" s="97"/>
      <c r="K1090" s="102"/>
      <c r="L1090" s="103"/>
      <c r="M1090" s="104"/>
      <c r="N1090" s="105"/>
      <c r="O1090" s="98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</row>
    <row r="1091" spans="1:27" x14ac:dyDescent="0.25">
      <c r="A1091" s="88"/>
      <c r="B1091" s="30"/>
      <c r="C1091" s="30"/>
      <c r="D1091" s="30"/>
      <c r="E1091" s="30"/>
      <c r="F1091" s="88"/>
      <c r="G1091" s="88"/>
      <c r="H1091" s="30"/>
      <c r="I1091" s="96"/>
      <c r="J1091" s="97"/>
      <c r="K1091" s="102"/>
      <c r="L1091" s="103"/>
      <c r="M1091" s="104"/>
      <c r="N1091" s="105"/>
      <c r="O1091" s="98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</row>
    <row r="1092" spans="1:27" x14ac:dyDescent="0.25">
      <c r="A1092" s="88"/>
      <c r="B1092" s="30"/>
      <c r="C1092" s="30"/>
      <c r="D1092" s="30"/>
      <c r="E1092" s="30"/>
      <c r="F1092" s="88"/>
      <c r="G1092" s="88"/>
      <c r="H1092" s="30"/>
      <c r="I1092" s="96"/>
      <c r="J1092" s="97"/>
      <c r="K1092" s="102"/>
      <c r="L1092" s="103"/>
      <c r="M1092" s="104"/>
      <c r="N1092" s="105"/>
      <c r="O1092" s="98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</row>
    <row r="1093" spans="1:27" x14ac:dyDescent="0.25">
      <c r="A1093" s="88"/>
      <c r="B1093" s="30"/>
      <c r="C1093" s="30"/>
      <c r="D1093" s="30"/>
      <c r="E1093" s="30"/>
      <c r="F1093" s="88"/>
      <c r="G1093" s="88"/>
      <c r="H1093" s="30"/>
      <c r="I1093" s="96"/>
      <c r="J1093" s="97"/>
      <c r="K1093" s="102"/>
      <c r="L1093" s="103"/>
      <c r="M1093" s="104"/>
      <c r="N1093" s="105"/>
      <c r="O1093" s="98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</row>
    <row r="1094" spans="1:27" x14ac:dyDescent="0.25">
      <c r="A1094" s="88"/>
      <c r="B1094" s="30"/>
      <c r="C1094" s="30"/>
      <c r="D1094" s="30"/>
      <c r="E1094" s="30"/>
      <c r="F1094" s="88"/>
      <c r="G1094" s="88"/>
      <c r="H1094" s="30"/>
      <c r="I1094" s="96"/>
      <c r="J1094" s="97"/>
      <c r="K1094" s="102"/>
      <c r="L1094" s="103"/>
      <c r="M1094" s="104"/>
      <c r="N1094" s="105"/>
      <c r="O1094" s="98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</row>
    <row r="1095" spans="1:27" x14ac:dyDescent="0.25">
      <c r="A1095" s="88"/>
      <c r="B1095" s="30"/>
      <c r="C1095" s="30"/>
      <c r="D1095" s="30"/>
      <c r="E1095" s="30"/>
      <c r="F1095" s="88"/>
      <c r="G1095" s="88"/>
      <c r="H1095" s="30"/>
      <c r="I1095" s="96"/>
      <c r="J1095" s="97"/>
      <c r="K1095" s="102"/>
      <c r="L1095" s="103"/>
      <c r="M1095" s="104"/>
      <c r="N1095" s="105"/>
      <c r="O1095" s="98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</row>
    <row r="1096" spans="1:27" x14ac:dyDescent="0.25">
      <c r="A1096" s="88"/>
      <c r="B1096" s="30"/>
      <c r="C1096" s="30"/>
      <c r="D1096" s="30"/>
      <c r="E1096" s="30"/>
      <c r="F1096" s="88"/>
      <c r="G1096" s="88"/>
      <c r="H1096" s="30"/>
      <c r="I1096" s="96"/>
      <c r="J1096" s="97"/>
      <c r="K1096" s="102"/>
      <c r="L1096" s="103"/>
      <c r="M1096" s="104"/>
      <c r="N1096" s="105"/>
      <c r="O1096" s="98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</row>
    <row r="1097" spans="1:27" x14ac:dyDescent="0.25">
      <c r="A1097" s="88"/>
      <c r="B1097" s="30"/>
      <c r="C1097" s="30"/>
      <c r="D1097" s="30"/>
      <c r="E1097" s="30"/>
      <c r="F1097" s="88"/>
      <c r="G1097" s="88"/>
      <c r="H1097" s="30"/>
      <c r="I1097" s="96"/>
      <c r="J1097" s="97"/>
      <c r="K1097" s="102"/>
      <c r="L1097" s="103"/>
      <c r="M1097" s="104"/>
      <c r="N1097" s="105"/>
      <c r="O1097" s="98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</row>
    <row r="1098" spans="1:27" x14ac:dyDescent="0.25">
      <c r="A1098" s="88"/>
      <c r="B1098" s="30"/>
      <c r="C1098" s="30"/>
      <c r="D1098" s="30"/>
      <c r="E1098" s="30"/>
      <c r="F1098" s="88"/>
      <c r="G1098" s="88"/>
      <c r="H1098" s="30"/>
      <c r="I1098" s="96"/>
      <c r="J1098" s="97"/>
      <c r="K1098" s="102"/>
      <c r="L1098" s="103"/>
      <c r="M1098" s="104"/>
      <c r="N1098" s="105"/>
      <c r="O1098" s="98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</row>
    <row r="1099" spans="1:27" x14ac:dyDescent="0.25">
      <c r="A1099" s="88"/>
      <c r="B1099" s="30"/>
      <c r="C1099" s="30"/>
      <c r="D1099" s="30"/>
      <c r="E1099" s="30"/>
      <c r="F1099" s="88"/>
      <c r="G1099" s="88"/>
      <c r="H1099" s="30"/>
      <c r="I1099" s="96"/>
      <c r="J1099" s="97"/>
      <c r="K1099" s="102"/>
      <c r="L1099" s="103"/>
      <c r="M1099" s="104"/>
      <c r="N1099" s="105"/>
      <c r="O1099" s="98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</row>
    <row r="1100" spans="1:27" x14ac:dyDescent="0.25">
      <c r="A1100" s="88"/>
      <c r="B1100" s="30"/>
      <c r="C1100" s="30"/>
      <c r="D1100" s="30"/>
      <c r="E1100" s="30"/>
      <c r="F1100" s="88"/>
      <c r="G1100" s="88"/>
      <c r="H1100" s="30"/>
      <c r="I1100" s="96"/>
      <c r="J1100" s="97"/>
      <c r="K1100" s="102"/>
      <c r="L1100" s="103"/>
      <c r="M1100" s="104"/>
      <c r="N1100" s="105"/>
      <c r="O1100" s="98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</row>
    <row r="1101" spans="1:27" x14ac:dyDescent="0.25">
      <c r="A1101" s="88"/>
      <c r="B1101" s="30"/>
      <c r="C1101" s="30"/>
      <c r="D1101" s="30"/>
      <c r="E1101" s="30"/>
      <c r="F1101" s="88"/>
      <c r="G1101" s="88"/>
      <c r="H1101" s="30"/>
      <c r="I1101" s="96"/>
      <c r="J1101" s="97"/>
      <c r="K1101" s="102"/>
      <c r="L1101" s="103"/>
      <c r="M1101" s="104"/>
      <c r="N1101" s="105"/>
      <c r="O1101" s="98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</row>
    <row r="1102" spans="1:27" x14ac:dyDescent="0.25">
      <c r="A1102" s="88"/>
      <c r="B1102" s="30"/>
      <c r="C1102" s="30"/>
      <c r="D1102" s="30"/>
      <c r="E1102" s="30"/>
      <c r="F1102" s="88"/>
      <c r="G1102" s="88"/>
      <c r="H1102" s="30"/>
      <c r="I1102" s="96"/>
      <c r="J1102" s="97"/>
      <c r="K1102" s="102"/>
      <c r="L1102" s="103"/>
      <c r="M1102" s="104"/>
      <c r="N1102" s="105"/>
      <c r="O1102" s="98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</row>
    <row r="1103" spans="1:27" x14ac:dyDescent="0.25">
      <c r="A1103" s="88"/>
      <c r="B1103" s="30"/>
      <c r="C1103" s="30"/>
      <c r="D1103" s="30"/>
      <c r="E1103" s="30"/>
      <c r="F1103" s="88"/>
      <c r="G1103" s="88"/>
      <c r="H1103" s="30"/>
      <c r="I1103" s="96"/>
      <c r="J1103" s="97"/>
      <c r="K1103" s="102"/>
      <c r="L1103" s="103"/>
      <c r="M1103" s="104"/>
      <c r="N1103" s="105"/>
      <c r="O1103" s="98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</row>
    <row r="1104" spans="1:27" x14ac:dyDescent="0.25">
      <c r="A1104" s="88"/>
      <c r="B1104" s="30"/>
      <c r="C1104" s="30"/>
      <c r="D1104" s="30"/>
      <c r="E1104" s="30"/>
      <c r="F1104" s="88"/>
      <c r="G1104" s="88"/>
      <c r="H1104" s="30"/>
      <c r="I1104" s="96"/>
      <c r="J1104" s="97"/>
      <c r="K1104" s="102"/>
      <c r="L1104" s="103"/>
      <c r="M1104" s="104"/>
      <c r="N1104" s="105"/>
      <c r="O1104" s="98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</row>
    <row r="1105" spans="1:27" x14ac:dyDescent="0.25">
      <c r="A1105" s="88"/>
      <c r="B1105" s="30"/>
      <c r="C1105" s="30"/>
      <c r="D1105" s="30"/>
      <c r="E1105" s="30"/>
      <c r="F1105" s="88"/>
      <c r="G1105" s="88"/>
      <c r="H1105" s="30"/>
      <c r="I1105" s="96"/>
      <c r="J1105" s="97"/>
      <c r="K1105" s="102"/>
      <c r="L1105" s="103"/>
      <c r="M1105" s="104"/>
      <c r="N1105" s="105"/>
      <c r="O1105" s="98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</row>
    <row r="1106" spans="1:27" x14ac:dyDescent="0.25">
      <c r="A1106" s="88"/>
      <c r="B1106" s="30"/>
      <c r="C1106" s="30"/>
      <c r="D1106" s="30"/>
      <c r="E1106" s="30"/>
      <c r="F1106" s="88"/>
      <c r="G1106" s="88"/>
      <c r="H1106" s="30"/>
      <c r="I1106" s="96"/>
      <c r="J1106" s="97"/>
      <c r="K1106" s="102"/>
      <c r="L1106" s="103"/>
      <c r="M1106" s="104"/>
      <c r="N1106" s="105"/>
      <c r="O1106" s="98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</row>
    <row r="1107" spans="1:27" x14ac:dyDescent="0.25">
      <c r="A1107" s="88"/>
      <c r="B1107" s="30"/>
      <c r="C1107" s="30"/>
      <c r="D1107" s="30"/>
      <c r="E1107" s="30"/>
      <c r="F1107" s="88"/>
      <c r="G1107" s="88"/>
      <c r="H1107" s="30"/>
      <c r="I1107" s="96"/>
      <c r="J1107" s="97"/>
      <c r="K1107" s="102"/>
      <c r="L1107" s="103"/>
      <c r="M1107" s="104"/>
      <c r="N1107" s="105"/>
      <c r="O1107" s="98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</row>
    <row r="1108" spans="1:27" x14ac:dyDescent="0.25">
      <c r="A1108" s="88"/>
      <c r="B1108" s="30"/>
      <c r="C1108" s="30"/>
      <c r="D1108" s="30"/>
      <c r="E1108" s="30"/>
      <c r="F1108" s="88"/>
      <c r="G1108" s="88"/>
      <c r="H1108" s="30"/>
      <c r="I1108" s="96"/>
      <c r="J1108" s="97"/>
      <c r="K1108" s="102"/>
      <c r="L1108" s="103"/>
      <c r="M1108" s="104"/>
      <c r="N1108" s="105"/>
      <c r="O1108" s="98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</row>
    <row r="1109" spans="1:27" x14ac:dyDescent="0.25">
      <c r="A1109" s="88"/>
      <c r="B1109" s="30"/>
      <c r="C1109" s="30"/>
      <c r="D1109" s="30"/>
      <c r="E1109" s="30"/>
      <c r="F1109" s="88"/>
      <c r="G1109" s="88"/>
      <c r="H1109" s="30"/>
      <c r="I1109" s="96"/>
      <c r="J1109" s="97"/>
      <c r="K1109" s="102"/>
      <c r="L1109" s="103"/>
      <c r="M1109" s="104"/>
      <c r="N1109" s="105"/>
      <c r="O1109" s="98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</row>
    <row r="1110" spans="1:27" x14ac:dyDescent="0.25">
      <c r="A1110" s="88"/>
      <c r="B1110" s="30"/>
      <c r="C1110" s="30"/>
      <c r="D1110" s="30"/>
      <c r="E1110" s="30"/>
      <c r="F1110" s="88"/>
      <c r="G1110" s="88"/>
      <c r="H1110" s="30"/>
      <c r="I1110" s="96"/>
      <c r="J1110" s="97"/>
      <c r="K1110" s="102"/>
      <c r="L1110" s="103"/>
      <c r="M1110" s="104"/>
      <c r="N1110" s="105"/>
      <c r="O1110" s="98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</row>
    <row r="1111" spans="1:27" x14ac:dyDescent="0.25">
      <c r="A1111" s="88"/>
      <c r="B1111" s="30"/>
      <c r="C1111" s="30"/>
      <c r="D1111" s="30"/>
      <c r="E1111" s="30"/>
      <c r="F1111" s="88"/>
      <c r="G1111" s="88"/>
      <c r="H1111" s="30"/>
      <c r="I1111" s="96"/>
      <c r="J1111" s="97"/>
      <c r="K1111" s="102"/>
      <c r="L1111" s="103"/>
      <c r="M1111" s="104"/>
      <c r="N1111" s="105"/>
      <c r="O1111" s="98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</row>
    <row r="1112" spans="1:27" x14ac:dyDescent="0.25">
      <c r="A1112" s="88"/>
      <c r="B1112" s="30"/>
      <c r="C1112" s="30"/>
      <c r="D1112" s="30"/>
      <c r="E1112" s="30"/>
      <c r="F1112" s="88"/>
      <c r="G1112" s="88"/>
      <c r="H1112" s="30"/>
      <c r="I1112" s="96"/>
      <c r="J1112" s="97"/>
      <c r="K1112" s="102"/>
      <c r="L1112" s="103"/>
      <c r="M1112" s="104"/>
      <c r="N1112" s="105"/>
      <c r="O1112" s="98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</row>
    <row r="1113" spans="1:27" x14ac:dyDescent="0.25">
      <c r="A1113" s="88"/>
      <c r="B1113" s="30"/>
      <c r="C1113" s="30"/>
      <c r="D1113" s="30"/>
      <c r="E1113" s="30"/>
      <c r="F1113" s="88"/>
      <c r="G1113" s="88"/>
      <c r="H1113" s="30"/>
      <c r="I1113" s="96"/>
      <c r="J1113" s="97"/>
      <c r="K1113" s="102"/>
      <c r="L1113" s="103"/>
      <c r="M1113" s="104"/>
      <c r="N1113" s="105"/>
      <c r="O1113" s="98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</row>
    <row r="1114" spans="1:27" x14ac:dyDescent="0.25">
      <c r="A1114" s="88"/>
      <c r="B1114" s="30"/>
      <c r="C1114" s="30"/>
      <c r="D1114" s="30"/>
      <c r="E1114" s="30"/>
      <c r="F1114" s="88"/>
      <c r="G1114" s="88"/>
      <c r="H1114" s="30"/>
      <c r="I1114" s="96"/>
      <c r="J1114" s="97"/>
      <c r="K1114" s="102"/>
      <c r="L1114" s="103"/>
      <c r="M1114" s="104"/>
      <c r="N1114" s="105"/>
      <c r="O1114" s="98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</row>
    <row r="1115" spans="1:27" x14ac:dyDescent="0.25">
      <c r="A1115" s="88"/>
      <c r="B1115" s="30"/>
      <c r="C1115" s="30"/>
      <c r="D1115" s="30"/>
      <c r="E1115" s="30"/>
      <c r="F1115" s="88"/>
      <c r="G1115" s="88"/>
      <c r="H1115" s="30"/>
      <c r="I1115" s="96"/>
      <c r="J1115" s="97"/>
      <c r="K1115" s="102"/>
      <c r="L1115" s="103"/>
      <c r="M1115" s="104"/>
      <c r="N1115" s="105"/>
      <c r="O1115" s="98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</row>
    <row r="1116" spans="1:27" x14ac:dyDescent="0.25">
      <c r="A1116" s="88"/>
      <c r="B1116" s="30"/>
      <c r="C1116" s="30"/>
      <c r="D1116" s="30"/>
      <c r="E1116" s="30"/>
      <c r="F1116" s="88"/>
      <c r="G1116" s="88"/>
      <c r="H1116" s="30"/>
      <c r="I1116" s="96"/>
      <c r="J1116" s="97"/>
      <c r="K1116" s="102"/>
      <c r="L1116" s="103"/>
      <c r="M1116" s="104"/>
      <c r="N1116" s="105"/>
      <c r="O1116" s="98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</row>
    <row r="1117" spans="1:27" x14ac:dyDescent="0.25">
      <c r="A1117" s="88"/>
      <c r="B1117" s="30"/>
      <c r="C1117" s="30"/>
      <c r="D1117" s="30"/>
      <c r="E1117" s="30"/>
      <c r="F1117" s="88"/>
      <c r="G1117" s="88"/>
      <c r="H1117" s="30"/>
      <c r="I1117" s="96"/>
      <c r="J1117" s="97"/>
      <c r="K1117" s="102"/>
      <c r="L1117" s="103"/>
      <c r="M1117" s="104"/>
      <c r="N1117" s="105"/>
      <c r="O1117" s="98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</row>
    <row r="1118" spans="1:27" x14ac:dyDescent="0.25">
      <c r="A1118" s="88"/>
      <c r="B1118" s="30"/>
      <c r="C1118" s="30"/>
      <c r="D1118" s="30"/>
      <c r="E1118" s="30"/>
      <c r="F1118" s="88"/>
      <c r="G1118" s="88"/>
      <c r="H1118" s="30"/>
      <c r="I1118" s="96"/>
      <c r="J1118" s="97"/>
      <c r="K1118" s="102"/>
      <c r="L1118" s="103"/>
      <c r="M1118" s="104"/>
      <c r="N1118" s="105"/>
      <c r="O1118" s="98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</row>
    <row r="1119" spans="1:27" x14ac:dyDescent="0.25">
      <c r="A1119" s="88"/>
      <c r="B1119" s="30"/>
      <c r="C1119" s="30"/>
      <c r="D1119" s="30"/>
      <c r="E1119" s="30"/>
      <c r="F1119" s="88"/>
      <c r="G1119" s="88"/>
      <c r="H1119" s="30"/>
      <c r="I1119" s="96"/>
      <c r="J1119" s="97"/>
      <c r="K1119" s="102"/>
      <c r="L1119" s="103"/>
      <c r="M1119" s="104"/>
      <c r="N1119" s="105"/>
      <c r="O1119" s="98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</row>
    <row r="1120" spans="1:27" x14ac:dyDescent="0.25">
      <c r="A1120" s="88"/>
      <c r="B1120" s="30"/>
      <c r="C1120" s="30"/>
      <c r="D1120" s="30"/>
      <c r="E1120" s="30"/>
      <c r="F1120" s="88"/>
      <c r="G1120" s="88"/>
      <c r="H1120" s="30"/>
      <c r="I1120" s="96"/>
      <c r="J1120" s="97"/>
      <c r="K1120" s="102"/>
      <c r="L1120" s="103"/>
      <c r="M1120" s="104"/>
      <c r="N1120" s="105"/>
      <c r="O1120" s="98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</row>
    <row r="1121" spans="1:27" x14ac:dyDescent="0.25">
      <c r="A1121" s="88"/>
      <c r="B1121" s="30"/>
      <c r="C1121" s="30"/>
      <c r="D1121" s="30"/>
      <c r="E1121" s="30"/>
      <c r="F1121" s="88"/>
      <c r="G1121" s="88"/>
      <c r="H1121" s="30"/>
      <c r="I1121" s="96"/>
      <c r="J1121" s="97"/>
      <c r="K1121" s="102"/>
      <c r="L1121" s="103"/>
      <c r="M1121" s="104"/>
      <c r="N1121" s="105"/>
      <c r="O1121" s="98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</row>
    <row r="1122" spans="1:27" x14ac:dyDescent="0.25">
      <c r="A1122" s="88"/>
      <c r="B1122" s="30"/>
      <c r="C1122" s="30"/>
      <c r="D1122" s="30"/>
      <c r="E1122" s="30"/>
      <c r="F1122" s="88"/>
      <c r="G1122" s="88"/>
      <c r="H1122" s="30"/>
      <c r="I1122" s="96"/>
      <c r="J1122" s="97"/>
      <c r="K1122" s="102"/>
      <c r="L1122" s="103"/>
      <c r="M1122" s="104"/>
      <c r="N1122" s="105"/>
      <c r="O1122" s="98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</row>
    <row r="1123" spans="1:27" x14ac:dyDescent="0.25">
      <c r="A1123" s="88"/>
      <c r="B1123" s="30"/>
      <c r="C1123" s="30"/>
      <c r="D1123" s="30"/>
      <c r="E1123" s="30"/>
      <c r="F1123" s="88"/>
      <c r="G1123" s="88"/>
      <c r="H1123" s="30"/>
      <c r="I1123" s="96"/>
      <c r="J1123" s="97"/>
      <c r="K1123" s="102"/>
      <c r="L1123" s="103"/>
      <c r="M1123" s="104"/>
      <c r="N1123" s="105"/>
      <c r="O1123" s="98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</row>
    <row r="1124" spans="1:27" x14ac:dyDescent="0.25">
      <c r="A1124" s="88"/>
      <c r="B1124" s="30"/>
      <c r="C1124" s="30"/>
      <c r="D1124" s="30"/>
      <c r="E1124" s="30"/>
      <c r="F1124" s="88"/>
      <c r="G1124" s="88"/>
      <c r="H1124" s="30"/>
      <c r="I1124" s="96"/>
      <c r="J1124" s="97"/>
      <c r="K1124" s="102"/>
      <c r="L1124" s="103"/>
      <c r="M1124" s="104"/>
      <c r="N1124" s="105"/>
      <c r="O1124" s="98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</row>
    <row r="1125" spans="1:27" x14ac:dyDescent="0.25">
      <c r="A1125" s="88"/>
      <c r="B1125" s="30"/>
      <c r="C1125" s="30"/>
      <c r="D1125" s="30"/>
      <c r="E1125" s="30"/>
      <c r="F1125" s="88"/>
      <c r="G1125" s="88"/>
      <c r="H1125" s="30"/>
      <c r="I1125" s="96"/>
      <c r="J1125" s="97"/>
      <c r="K1125" s="102"/>
      <c r="L1125" s="103"/>
      <c r="M1125" s="104"/>
      <c r="N1125" s="105"/>
      <c r="O1125" s="98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</row>
    <row r="1126" spans="1:27" x14ac:dyDescent="0.25">
      <c r="A1126" s="88"/>
      <c r="B1126" s="30"/>
      <c r="C1126" s="30"/>
      <c r="D1126" s="30"/>
      <c r="E1126" s="30"/>
      <c r="F1126" s="88"/>
      <c r="G1126" s="88"/>
      <c r="H1126" s="30"/>
      <c r="I1126" s="96"/>
      <c r="J1126" s="97"/>
      <c r="K1126" s="102"/>
      <c r="L1126" s="103"/>
      <c r="M1126" s="104"/>
      <c r="N1126" s="105"/>
      <c r="O1126" s="98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</row>
    <row r="1127" spans="1:27" x14ac:dyDescent="0.25">
      <c r="A1127" s="88"/>
      <c r="B1127" s="30"/>
      <c r="C1127" s="30"/>
      <c r="D1127" s="30"/>
      <c r="E1127" s="30"/>
      <c r="F1127" s="88"/>
      <c r="G1127" s="88"/>
      <c r="H1127" s="30"/>
      <c r="I1127" s="96"/>
      <c r="J1127" s="97"/>
      <c r="K1127" s="102"/>
      <c r="L1127" s="103"/>
      <c r="M1127" s="104"/>
      <c r="N1127" s="105"/>
      <c r="O1127" s="98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</row>
    <row r="1128" spans="1:27" x14ac:dyDescent="0.25">
      <c r="A1128" s="88"/>
      <c r="B1128" s="30"/>
      <c r="C1128" s="30"/>
      <c r="D1128" s="30"/>
      <c r="E1128" s="30"/>
      <c r="F1128" s="88"/>
      <c r="G1128" s="88"/>
      <c r="H1128" s="30"/>
      <c r="I1128" s="96"/>
      <c r="J1128" s="97"/>
      <c r="K1128" s="102"/>
      <c r="L1128" s="103"/>
      <c r="M1128" s="104"/>
      <c r="N1128" s="105"/>
      <c r="O1128" s="98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</row>
    <row r="1129" spans="1:27" x14ac:dyDescent="0.25">
      <c r="A1129" s="88"/>
      <c r="B1129" s="30"/>
      <c r="C1129" s="30"/>
      <c r="D1129" s="30"/>
      <c r="E1129" s="30"/>
      <c r="F1129" s="88"/>
      <c r="G1129" s="88"/>
      <c r="H1129" s="30"/>
      <c r="I1129" s="96"/>
      <c r="J1129" s="97"/>
      <c r="K1129" s="102"/>
      <c r="L1129" s="103"/>
      <c r="M1129" s="104"/>
      <c r="N1129" s="105"/>
      <c r="O1129" s="98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</row>
    <row r="1130" spans="1:27" x14ac:dyDescent="0.25">
      <c r="A1130" s="88"/>
      <c r="B1130" s="30"/>
      <c r="C1130" s="30"/>
      <c r="D1130" s="30"/>
      <c r="E1130" s="30"/>
      <c r="F1130" s="88"/>
      <c r="G1130" s="88"/>
      <c r="H1130" s="30"/>
      <c r="I1130" s="96"/>
      <c r="J1130" s="97"/>
      <c r="K1130" s="102"/>
      <c r="L1130" s="103"/>
      <c r="M1130" s="104"/>
      <c r="N1130" s="105"/>
      <c r="O1130" s="98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</row>
    <row r="1131" spans="1:27" x14ac:dyDescent="0.25">
      <c r="A1131" s="88"/>
      <c r="B1131" s="30"/>
      <c r="C1131" s="30"/>
      <c r="D1131" s="30"/>
      <c r="E1131" s="30"/>
      <c r="F1131" s="88"/>
      <c r="G1131" s="88"/>
      <c r="H1131" s="30"/>
      <c r="I1131" s="96"/>
      <c r="J1131" s="97"/>
      <c r="K1131" s="102"/>
      <c r="L1131" s="103"/>
      <c r="M1131" s="104"/>
      <c r="N1131" s="105"/>
      <c r="O1131" s="98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</row>
    <row r="1132" spans="1:27" x14ac:dyDescent="0.25">
      <c r="A1132" s="88"/>
      <c r="B1132" s="30"/>
      <c r="C1132" s="30"/>
      <c r="D1132" s="30"/>
      <c r="E1132" s="30"/>
      <c r="F1132" s="88"/>
      <c r="G1132" s="88"/>
      <c r="H1132" s="30"/>
      <c r="I1132" s="96"/>
      <c r="J1132" s="97"/>
      <c r="K1132" s="102"/>
      <c r="L1132" s="103"/>
      <c r="M1132" s="104"/>
      <c r="N1132" s="105"/>
      <c r="O1132" s="98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</row>
    <row r="1133" spans="1:27" x14ac:dyDescent="0.25">
      <c r="A1133" s="88"/>
      <c r="B1133" s="30"/>
      <c r="C1133" s="30"/>
      <c r="D1133" s="30"/>
      <c r="E1133" s="30"/>
      <c r="F1133" s="88"/>
      <c r="G1133" s="88"/>
      <c r="H1133" s="30"/>
      <c r="I1133" s="96"/>
      <c r="J1133" s="97"/>
      <c r="K1133" s="102"/>
      <c r="L1133" s="103"/>
      <c r="M1133" s="104"/>
      <c r="N1133" s="105"/>
      <c r="O1133" s="98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</row>
    <row r="1134" spans="1:27" x14ac:dyDescent="0.25">
      <c r="A1134" s="88"/>
      <c r="B1134" s="30"/>
      <c r="C1134" s="30"/>
      <c r="D1134" s="30"/>
      <c r="E1134" s="30"/>
      <c r="F1134" s="88"/>
      <c r="G1134" s="88"/>
      <c r="H1134" s="30"/>
      <c r="I1134" s="96"/>
      <c r="J1134" s="97"/>
      <c r="K1134" s="102"/>
      <c r="L1134" s="103"/>
      <c r="M1134" s="104"/>
      <c r="N1134" s="105"/>
      <c r="O1134" s="98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</row>
    <row r="1135" spans="1:27" x14ac:dyDescent="0.25">
      <c r="A1135" s="88"/>
      <c r="B1135" s="30"/>
      <c r="C1135" s="30"/>
      <c r="D1135" s="30"/>
      <c r="E1135" s="30"/>
      <c r="F1135" s="88"/>
      <c r="G1135" s="88"/>
      <c r="H1135" s="30"/>
      <c r="I1135" s="96"/>
      <c r="J1135" s="97"/>
      <c r="K1135" s="102"/>
      <c r="L1135" s="103"/>
      <c r="M1135" s="104"/>
      <c r="N1135" s="105"/>
      <c r="O1135" s="98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</row>
    <row r="1136" spans="1:27" x14ac:dyDescent="0.25">
      <c r="A1136" s="88"/>
      <c r="B1136" s="30"/>
      <c r="C1136" s="30"/>
      <c r="D1136" s="30"/>
      <c r="E1136" s="30"/>
      <c r="F1136" s="88"/>
      <c r="G1136" s="88"/>
      <c r="H1136" s="30"/>
      <c r="I1136" s="96"/>
      <c r="J1136" s="97"/>
      <c r="K1136" s="102"/>
      <c r="L1136" s="103"/>
      <c r="M1136" s="104"/>
      <c r="N1136" s="105"/>
      <c r="O1136" s="98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</row>
    <row r="1137" spans="1:27" x14ac:dyDescent="0.25">
      <c r="A1137" s="88"/>
      <c r="B1137" s="30"/>
      <c r="C1137" s="30"/>
      <c r="D1137" s="30"/>
      <c r="E1137" s="30"/>
      <c r="F1137" s="88"/>
      <c r="G1137" s="88"/>
      <c r="H1137" s="30"/>
      <c r="I1137" s="96"/>
      <c r="J1137" s="97"/>
      <c r="K1137" s="102"/>
      <c r="L1137" s="103"/>
      <c r="M1137" s="104"/>
      <c r="N1137" s="105"/>
      <c r="O1137" s="98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</row>
    <row r="1138" spans="1:27" x14ac:dyDescent="0.25">
      <c r="A1138" s="88"/>
      <c r="B1138" s="30"/>
      <c r="C1138" s="30"/>
      <c r="D1138" s="30"/>
      <c r="E1138" s="30"/>
      <c r="F1138" s="88"/>
      <c r="G1138" s="88"/>
      <c r="H1138" s="30"/>
      <c r="I1138" s="96"/>
      <c r="J1138" s="97"/>
      <c r="K1138" s="102"/>
      <c r="L1138" s="103"/>
      <c r="M1138" s="104"/>
      <c r="N1138" s="105"/>
      <c r="O1138" s="98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</row>
    <row r="1139" spans="1:27" x14ac:dyDescent="0.25">
      <c r="A1139" s="88"/>
      <c r="B1139" s="30"/>
      <c r="C1139" s="30"/>
      <c r="D1139" s="30"/>
      <c r="E1139" s="30"/>
      <c r="F1139" s="88"/>
      <c r="G1139" s="88"/>
      <c r="H1139" s="30"/>
      <c r="I1139" s="96"/>
      <c r="J1139" s="97"/>
      <c r="K1139" s="102"/>
      <c r="L1139" s="103"/>
      <c r="M1139" s="104"/>
      <c r="N1139" s="105"/>
      <c r="O1139" s="98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</row>
    <row r="1140" spans="1:27" x14ac:dyDescent="0.25">
      <c r="A1140" s="88"/>
      <c r="B1140" s="30"/>
      <c r="C1140" s="30"/>
      <c r="D1140" s="30"/>
      <c r="E1140" s="30"/>
      <c r="F1140" s="88"/>
      <c r="G1140" s="88"/>
      <c r="H1140" s="30"/>
      <c r="I1140" s="96"/>
      <c r="J1140" s="97"/>
      <c r="K1140" s="102"/>
      <c r="L1140" s="103"/>
      <c r="M1140" s="104"/>
      <c r="N1140" s="105"/>
      <c r="O1140" s="98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</row>
    <row r="1141" spans="1:27" x14ac:dyDescent="0.25">
      <c r="A1141" s="88"/>
      <c r="B1141" s="30"/>
      <c r="C1141" s="30"/>
      <c r="D1141" s="30"/>
      <c r="E1141" s="30"/>
      <c r="F1141" s="88"/>
      <c r="G1141" s="88"/>
      <c r="H1141" s="30"/>
      <c r="I1141" s="96"/>
      <c r="J1141" s="97"/>
      <c r="K1141" s="102"/>
      <c r="L1141" s="103"/>
      <c r="M1141" s="104"/>
      <c r="N1141" s="105"/>
      <c r="O1141" s="98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</row>
    <row r="1142" spans="1:27" x14ac:dyDescent="0.25">
      <c r="A1142" s="88"/>
      <c r="B1142" s="30"/>
      <c r="C1142" s="30"/>
      <c r="D1142" s="30"/>
      <c r="E1142" s="30"/>
      <c r="F1142" s="88"/>
      <c r="G1142" s="88"/>
      <c r="H1142" s="30"/>
      <c r="I1142" s="96"/>
      <c r="J1142" s="97"/>
      <c r="K1142" s="102"/>
      <c r="L1142" s="103"/>
      <c r="M1142" s="104"/>
      <c r="N1142" s="105"/>
      <c r="O1142" s="98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</row>
    <row r="1143" spans="1:27" x14ac:dyDescent="0.25">
      <c r="A1143" s="88"/>
      <c r="B1143" s="30"/>
      <c r="C1143" s="30"/>
      <c r="D1143" s="30"/>
      <c r="E1143" s="30"/>
      <c r="F1143" s="88"/>
      <c r="G1143" s="88"/>
      <c r="H1143" s="30"/>
      <c r="I1143" s="96"/>
      <c r="J1143" s="97"/>
      <c r="K1143" s="102"/>
      <c r="L1143" s="103"/>
      <c r="M1143" s="104"/>
      <c r="N1143" s="105"/>
      <c r="O1143" s="98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</row>
    <row r="1144" spans="1:27" x14ac:dyDescent="0.25">
      <c r="A1144" s="88"/>
      <c r="B1144" s="30"/>
      <c r="C1144" s="30"/>
      <c r="D1144" s="30"/>
      <c r="E1144" s="30"/>
      <c r="F1144" s="88"/>
      <c r="G1144" s="88"/>
      <c r="H1144" s="30"/>
      <c r="I1144" s="96"/>
      <c r="J1144" s="97"/>
      <c r="K1144" s="102"/>
      <c r="L1144" s="103"/>
      <c r="M1144" s="104"/>
      <c r="N1144" s="105"/>
      <c r="O1144" s="98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</row>
    <row r="1145" spans="1:27" x14ac:dyDescent="0.25">
      <c r="A1145" s="88"/>
      <c r="B1145" s="30"/>
      <c r="C1145" s="30"/>
      <c r="D1145" s="30"/>
      <c r="E1145" s="30"/>
      <c r="F1145" s="88"/>
      <c r="G1145" s="88"/>
      <c r="H1145" s="30"/>
      <c r="I1145" s="96"/>
      <c r="J1145" s="97"/>
      <c r="K1145" s="102"/>
      <c r="L1145" s="103"/>
      <c r="M1145" s="104"/>
      <c r="N1145" s="105"/>
      <c r="O1145" s="98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</row>
    <row r="1146" spans="1:27" x14ac:dyDescent="0.25">
      <c r="A1146" s="88"/>
      <c r="B1146" s="30"/>
      <c r="C1146" s="30"/>
      <c r="D1146" s="30"/>
      <c r="E1146" s="30"/>
      <c r="F1146" s="88"/>
      <c r="G1146" s="88"/>
      <c r="H1146" s="30"/>
      <c r="I1146" s="96"/>
      <c r="J1146" s="97"/>
      <c r="K1146" s="102"/>
      <c r="L1146" s="103"/>
      <c r="M1146" s="104"/>
      <c r="N1146" s="105"/>
      <c r="O1146" s="98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</row>
    <row r="1147" spans="1:27" x14ac:dyDescent="0.25">
      <c r="A1147" s="88"/>
      <c r="B1147" s="30"/>
      <c r="C1147" s="30"/>
      <c r="D1147" s="30"/>
      <c r="E1147" s="30"/>
      <c r="F1147" s="88"/>
      <c r="G1147" s="88"/>
      <c r="H1147" s="30"/>
      <c r="I1147" s="96"/>
      <c r="J1147" s="97"/>
      <c r="K1147" s="102"/>
      <c r="L1147" s="103"/>
      <c r="M1147" s="104"/>
      <c r="N1147" s="105"/>
      <c r="O1147" s="98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</row>
    <row r="1148" spans="1:27" x14ac:dyDescent="0.25">
      <c r="A1148" s="88"/>
      <c r="B1148" s="30"/>
      <c r="C1148" s="30"/>
      <c r="D1148" s="30"/>
      <c r="E1148" s="30"/>
      <c r="F1148" s="88"/>
      <c r="G1148" s="88"/>
      <c r="H1148" s="30"/>
      <c r="I1148" s="96"/>
      <c r="J1148" s="97"/>
      <c r="K1148" s="102"/>
      <c r="L1148" s="103"/>
      <c r="M1148" s="104"/>
      <c r="N1148" s="105"/>
      <c r="O1148" s="98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</row>
    <row r="1149" spans="1:27" x14ac:dyDescent="0.25">
      <c r="A1149" s="88"/>
      <c r="B1149" s="30"/>
      <c r="C1149" s="30"/>
      <c r="D1149" s="30"/>
      <c r="E1149" s="30"/>
      <c r="F1149" s="88"/>
      <c r="G1149" s="88"/>
      <c r="H1149" s="30"/>
      <c r="I1149" s="96"/>
      <c r="J1149" s="97"/>
      <c r="K1149" s="102"/>
      <c r="L1149" s="103"/>
      <c r="M1149" s="104"/>
      <c r="N1149" s="105"/>
      <c r="O1149" s="98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</row>
    <row r="1150" spans="1:27" x14ac:dyDescent="0.25">
      <c r="A1150" s="88"/>
      <c r="B1150" s="30"/>
      <c r="C1150" s="30"/>
      <c r="D1150" s="30"/>
      <c r="E1150" s="30"/>
      <c r="F1150" s="88"/>
      <c r="G1150" s="88"/>
      <c r="H1150" s="30"/>
      <c r="I1150" s="96"/>
      <c r="J1150" s="97"/>
      <c r="K1150" s="102"/>
      <c r="L1150" s="103"/>
      <c r="M1150" s="104"/>
      <c r="N1150" s="105"/>
      <c r="O1150" s="98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</row>
    <row r="1151" spans="1:27" x14ac:dyDescent="0.25">
      <c r="A1151" s="88"/>
      <c r="B1151" s="30"/>
      <c r="C1151" s="30"/>
      <c r="D1151" s="30"/>
      <c r="E1151" s="30"/>
      <c r="F1151" s="88"/>
      <c r="G1151" s="88"/>
      <c r="H1151" s="30"/>
      <c r="I1151" s="96"/>
      <c r="J1151" s="97"/>
      <c r="K1151" s="102"/>
      <c r="L1151" s="103"/>
      <c r="M1151" s="104"/>
      <c r="N1151" s="105"/>
      <c r="O1151" s="98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</row>
    <row r="1152" spans="1:27" x14ac:dyDescent="0.25">
      <c r="A1152" s="88"/>
      <c r="B1152" s="30"/>
      <c r="C1152" s="30"/>
      <c r="D1152" s="30"/>
      <c r="E1152" s="30"/>
      <c r="F1152" s="88"/>
      <c r="G1152" s="88"/>
      <c r="H1152" s="30"/>
      <c r="I1152" s="96"/>
      <c r="J1152" s="97"/>
      <c r="K1152" s="102"/>
      <c r="L1152" s="103"/>
      <c r="M1152" s="104"/>
      <c r="N1152" s="105"/>
      <c r="O1152" s="98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</row>
    <row r="1153" spans="1:27" x14ac:dyDescent="0.25">
      <c r="A1153" s="88"/>
      <c r="B1153" s="30"/>
      <c r="C1153" s="30"/>
      <c r="D1153" s="30"/>
      <c r="E1153" s="30"/>
      <c r="F1153" s="88"/>
      <c r="G1153" s="88"/>
      <c r="H1153" s="30"/>
      <c r="I1153" s="96"/>
      <c r="J1153" s="97"/>
      <c r="K1153" s="102"/>
      <c r="L1153" s="103"/>
      <c r="M1153" s="104"/>
      <c r="N1153" s="105"/>
      <c r="O1153" s="98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</row>
    <row r="1154" spans="1:27" x14ac:dyDescent="0.25">
      <c r="A1154" s="88"/>
      <c r="B1154" s="30"/>
      <c r="C1154" s="30"/>
      <c r="D1154" s="30"/>
      <c r="E1154" s="30"/>
      <c r="F1154" s="88"/>
      <c r="G1154" s="88"/>
      <c r="H1154" s="30"/>
      <c r="I1154" s="96"/>
      <c r="J1154" s="97"/>
      <c r="K1154" s="102"/>
      <c r="L1154" s="103"/>
      <c r="M1154" s="104"/>
      <c r="N1154" s="105"/>
      <c r="O1154" s="98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</row>
    <row r="1155" spans="1:27" x14ac:dyDescent="0.25">
      <c r="A1155" s="88"/>
      <c r="B1155" s="30"/>
      <c r="C1155" s="30"/>
      <c r="D1155" s="30"/>
      <c r="E1155" s="30"/>
      <c r="F1155" s="88"/>
      <c r="G1155" s="88"/>
      <c r="H1155" s="30"/>
      <c r="I1155" s="96"/>
      <c r="J1155" s="97"/>
      <c r="K1155" s="102"/>
      <c r="L1155" s="103"/>
      <c r="M1155" s="104"/>
      <c r="N1155" s="105"/>
      <c r="O1155" s="98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</row>
    <row r="1156" spans="1:27" x14ac:dyDescent="0.25">
      <c r="A1156" s="88"/>
      <c r="B1156" s="30"/>
      <c r="C1156" s="30"/>
      <c r="D1156" s="30"/>
      <c r="E1156" s="30"/>
      <c r="F1156" s="88"/>
      <c r="G1156" s="88"/>
      <c r="H1156" s="30"/>
      <c r="I1156" s="96"/>
      <c r="J1156" s="97"/>
      <c r="K1156" s="102"/>
      <c r="L1156" s="103"/>
      <c r="M1156" s="104"/>
      <c r="N1156" s="105"/>
      <c r="O1156" s="98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</row>
    <row r="1157" spans="1:27" x14ac:dyDescent="0.25">
      <c r="A1157" s="88"/>
      <c r="B1157" s="30"/>
      <c r="C1157" s="30"/>
      <c r="D1157" s="30"/>
      <c r="E1157" s="30"/>
      <c r="F1157" s="88"/>
      <c r="G1157" s="88"/>
      <c r="H1157" s="30"/>
      <c r="I1157" s="96"/>
      <c r="J1157" s="97"/>
      <c r="K1157" s="102"/>
      <c r="L1157" s="103"/>
      <c r="M1157" s="104"/>
      <c r="N1157" s="105"/>
      <c r="O1157" s="98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</row>
    <row r="1158" spans="1:27" x14ac:dyDescent="0.25">
      <c r="A1158" s="88"/>
      <c r="B1158" s="30"/>
      <c r="C1158" s="30"/>
      <c r="D1158" s="30"/>
      <c r="E1158" s="30"/>
      <c r="F1158" s="88"/>
      <c r="G1158" s="88"/>
      <c r="H1158" s="30"/>
      <c r="I1158" s="96"/>
      <c r="J1158" s="97"/>
      <c r="K1158" s="102"/>
      <c r="L1158" s="103"/>
      <c r="M1158" s="104"/>
      <c r="N1158" s="105"/>
      <c r="O1158" s="98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</row>
    <row r="1159" spans="1:27" x14ac:dyDescent="0.25">
      <c r="A1159" s="88"/>
      <c r="B1159" s="30"/>
      <c r="C1159" s="30"/>
      <c r="D1159" s="30"/>
      <c r="E1159" s="30"/>
      <c r="F1159" s="88"/>
      <c r="G1159" s="88"/>
      <c r="H1159" s="30"/>
      <c r="I1159" s="96"/>
      <c r="J1159" s="97"/>
      <c r="K1159" s="102"/>
      <c r="L1159" s="103"/>
      <c r="M1159" s="104"/>
      <c r="N1159" s="105"/>
      <c r="O1159" s="98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</row>
    <row r="1160" spans="1:27" x14ac:dyDescent="0.25">
      <c r="A1160" s="88"/>
      <c r="B1160" s="30"/>
      <c r="C1160" s="30"/>
      <c r="D1160" s="30"/>
      <c r="E1160" s="30"/>
      <c r="F1160" s="88"/>
      <c r="G1160" s="88"/>
      <c r="H1160" s="30"/>
      <c r="I1160" s="96"/>
      <c r="J1160" s="97"/>
      <c r="K1160" s="102"/>
      <c r="L1160" s="103"/>
      <c r="M1160" s="104"/>
      <c r="N1160" s="105"/>
      <c r="O1160" s="98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</row>
    <row r="1161" spans="1:27" x14ac:dyDescent="0.25">
      <c r="A1161" s="88"/>
      <c r="B1161" s="30"/>
      <c r="C1161" s="30"/>
      <c r="D1161" s="30"/>
      <c r="E1161" s="30"/>
      <c r="F1161" s="88"/>
      <c r="G1161" s="88"/>
      <c r="H1161" s="30"/>
      <c r="I1161" s="96"/>
      <c r="J1161" s="97"/>
      <c r="K1161" s="102"/>
      <c r="L1161" s="103"/>
      <c r="M1161" s="104"/>
      <c r="N1161" s="105"/>
      <c r="O1161" s="98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</row>
    <row r="1162" spans="1:27" x14ac:dyDescent="0.25">
      <c r="A1162" s="88"/>
      <c r="B1162" s="30"/>
      <c r="C1162" s="30"/>
      <c r="D1162" s="30"/>
      <c r="E1162" s="30"/>
      <c r="F1162" s="88"/>
      <c r="G1162" s="88"/>
      <c r="H1162" s="30"/>
      <c r="I1162" s="96"/>
      <c r="J1162" s="97"/>
      <c r="K1162" s="102"/>
      <c r="L1162" s="103"/>
      <c r="M1162" s="104"/>
      <c r="N1162" s="105"/>
      <c r="O1162" s="98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</row>
    <row r="1163" spans="1:27" x14ac:dyDescent="0.25">
      <c r="A1163" s="88"/>
      <c r="B1163" s="30"/>
      <c r="C1163" s="30"/>
      <c r="D1163" s="30"/>
      <c r="E1163" s="30"/>
      <c r="F1163" s="88"/>
      <c r="G1163" s="88"/>
      <c r="H1163" s="30"/>
      <c r="I1163" s="96"/>
      <c r="J1163" s="97"/>
      <c r="K1163" s="102"/>
      <c r="L1163" s="103"/>
      <c r="M1163" s="104"/>
      <c r="N1163" s="105"/>
      <c r="O1163" s="98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</row>
    <row r="1164" spans="1:27" x14ac:dyDescent="0.25">
      <c r="A1164" s="88"/>
      <c r="B1164" s="30"/>
      <c r="C1164" s="30"/>
      <c r="D1164" s="30"/>
      <c r="E1164" s="30"/>
      <c r="F1164" s="88"/>
      <c r="G1164" s="88"/>
      <c r="H1164" s="30"/>
      <c r="I1164" s="96"/>
      <c r="J1164" s="97"/>
      <c r="K1164" s="102"/>
      <c r="L1164" s="103"/>
      <c r="M1164" s="104"/>
      <c r="N1164" s="105"/>
      <c r="O1164" s="98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</row>
    <row r="1165" spans="1:27" x14ac:dyDescent="0.25">
      <c r="A1165" s="88"/>
      <c r="B1165" s="30"/>
      <c r="C1165" s="30"/>
      <c r="D1165" s="30"/>
      <c r="E1165" s="30"/>
      <c r="F1165" s="88"/>
      <c r="G1165" s="88"/>
      <c r="H1165" s="30"/>
      <c r="I1165" s="96"/>
      <c r="J1165" s="97"/>
      <c r="K1165" s="102"/>
      <c r="L1165" s="103"/>
      <c r="M1165" s="104"/>
      <c r="N1165" s="105"/>
      <c r="O1165" s="98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</row>
    <row r="1166" spans="1:27" x14ac:dyDescent="0.25">
      <c r="A1166" s="88"/>
      <c r="B1166" s="30"/>
      <c r="C1166" s="30"/>
      <c r="D1166" s="30"/>
      <c r="E1166" s="30"/>
      <c r="F1166" s="88"/>
      <c r="G1166" s="88"/>
      <c r="H1166" s="30"/>
      <c r="I1166" s="96"/>
      <c r="J1166" s="97"/>
      <c r="K1166" s="102"/>
      <c r="L1166" s="103"/>
      <c r="M1166" s="104"/>
      <c r="N1166" s="105"/>
      <c r="O1166" s="98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</row>
    <row r="1167" spans="1:27" x14ac:dyDescent="0.25">
      <c r="A1167" s="88"/>
      <c r="B1167" s="30"/>
      <c r="C1167" s="30"/>
      <c r="D1167" s="30"/>
      <c r="E1167" s="30"/>
      <c r="F1167" s="88"/>
      <c r="G1167" s="88"/>
      <c r="H1167" s="30"/>
      <c r="I1167" s="96"/>
      <c r="J1167" s="97"/>
      <c r="K1167" s="102"/>
      <c r="L1167" s="103"/>
      <c r="M1167" s="104"/>
      <c r="N1167" s="105"/>
      <c r="O1167" s="98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</row>
    <row r="1168" spans="1:27" x14ac:dyDescent="0.25">
      <c r="A1168" s="88"/>
      <c r="B1168" s="30"/>
      <c r="C1168" s="30"/>
      <c r="D1168" s="30"/>
      <c r="E1168" s="30"/>
      <c r="F1168" s="88"/>
      <c r="G1168" s="88"/>
      <c r="H1168" s="30"/>
      <c r="I1168" s="96"/>
      <c r="J1168" s="97"/>
      <c r="K1168" s="102"/>
      <c r="L1168" s="103"/>
      <c r="M1168" s="104"/>
      <c r="N1168" s="105"/>
      <c r="O1168" s="98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</row>
    <row r="1169" spans="1:27" x14ac:dyDescent="0.25">
      <c r="A1169" s="88"/>
      <c r="B1169" s="30"/>
      <c r="C1169" s="30"/>
      <c r="D1169" s="30"/>
      <c r="E1169" s="30"/>
      <c r="F1169" s="88"/>
      <c r="G1169" s="88"/>
      <c r="H1169" s="30"/>
      <c r="I1169" s="96"/>
      <c r="J1169" s="97"/>
      <c r="K1169" s="102"/>
      <c r="L1169" s="103"/>
      <c r="M1169" s="104"/>
      <c r="N1169" s="105"/>
      <c r="O1169" s="98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</row>
    <row r="1170" spans="1:27" x14ac:dyDescent="0.25">
      <c r="A1170" s="88"/>
      <c r="B1170" s="30"/>
      <c r="C1170" s="30"/>
      <c r="D1170" s="30"/>
      <c r="E1170" s="30"/>
      <c r="F1170" s="88"/>
      <c r="G1170" s="88"/>
      <c r="H1170" s="30"/>
      <c r="I1170" s="96"/>
      <c r="J1170" s="97"/>
      <c r="K1170" s="102"/>
      <c r="L1170" s="103"/>
      <c r="M1170" s="104"/>
      <c r="N1170" s="105"/>
      <c r="O1170" s="98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</row>
    <row r="1171" spans="1:27" x14ac:dyDescent="0.25">
      <c r="A1171" s="88"/>
      <c r="B1171" s="30"/>
      <c r="C1171" s="30"/>
      <c r="D1171" s="30"/>
      <c r="E1171" s="30"/>
      <c r="F1171" s="88"/>
      <c r="G1171" s="88"/>
      <c r="H1171" s="30"/>
      <c r="I1171" s="96"/>
      <c r="J1171" s="97"/>
      <c r="K1171" s="102"/>
      <c r="L1171" s="103"/>
      <c r="M1171" s="104"/>
      <c r="N1171" s="105"/>
      <c r="O1171" s="98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</row>
    <row r="1172" spans="1:27" x14ac:dyDescent="0.25">
      <c r="A1172" s="88"/>
      <c r="B1172" s="30"/>
      <c r="C1172" s="30"/>
      <c r="D1172" s="30"/>
      <c r="E1172" s="30"/>
      <c r="F1172" s="88"/>
      <c r="G1172" s="88"/>
      <c r="H1172" s="30"/>
      <c r="I1172" s="96"/>
      <c r="J1172" s="97"/>
      <c r="K1172" s="102"/>
      <c r="L1172" s="103"/>
      <c r="M1172" s="104"/>
      <c r="N1172" s="105"/>
      <c r="O1172" s="98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</row>
    <row r="1173" spans="1:27" x14ac:dyDescent="0.25">
      <c r="A1173" s="88"/>
      <c r="B1173" s="30"/>
      <c r="C1173" s="30"/>
      <c r="D1173" s="30"/>
      <c r="E1173" s="30"/>
      <c r="F1173" s="88"/>
      <c r="G1173" s="88"/>
      <c r="H1173" s="30"/>
      <c r="I1173" s="96"/>
      <c r="J1173" s="97"/>
      <c r="K1173" s="102"/>
      <c r="L1173" s="103"/>
      <c r="M1173" s="104"/>
      <c r="N1173" s="105"/>
      <c r="O1173" s="98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</row>
    <row r="1174" spans="1:27" x14ac:dyDescent="0.25">
      <c r="A1174" s="88"/>
      <c r="B1174" s="30"/>
      <c r="C1174" s="30"/>
      <c r="D1174" s="30"/>
      <c r="E1174" s="30"/>
      <c r="F1174" s="88"/>
      <c r="G1174" s="88"/>
      <c r="H1174" s="30"/>
      <c r="I1174" s="96"/>
      <c r="J1174" s="97"/>
      <c r="K1174" s="102"/>
      <c r="L1174" s="103"/>
      <c r="M1174" s="104"/>
      <c r="N1174" s="105"/>
      <c r="O1174" s="98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</row>
    <row r="1175" spans="1:27" x14ac:dyDescent="0.25">
      <c r="A1175" s="88"/>
      <c r="B1175" s="30"/>
      <c r="C1175" s="30"/>
      <c r="D1175" s="30"/>
      <c r="E1175" s="30"/>
      <c r="F1175" s="88"/>
      <c r="G1175" s="88"/>
      <c r="H1175" s="30"/>
      <c r="I1175" s="96"/>
      <c r="J1175" s="97"/>
      <c r="K1175" s="102"/>
      <c r="L1175" s="103"/>
      <c r="M1175" s="104"/>
      <c r="N1175" s="105"/>
      <c r="O1175" s="98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</row>
    <row r="1176" spans="1:27" x14ac:dyDescent="0.25">
      <c r="A1176" s="88"/>
      <c r="B1176" s="30"/>
      <c r="C1176" s="30"/>
      <c r="D1176" s="30"/>
      <c r="E1176" s="30"/>
      <c r="F1176" s="88"/>
      <c r="G1176" s="88"/>
      <c r="H1176" s="30"/>
      <c r="I1176" s="96"/>
      <c r="J1176" s="97"/>
      <c r="K1176" s="102"/>
      <c r="L1176" s="103"/>
      <c r="M1176" s="104"/>
      <c r="N1176" s="105"/>
      <c r="O1176" s="98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</row>
    <row r="1177" spans="1:27" x14ac:dyDescent="0.25">
      <c r="A1177" s="88"/>
      <c r="B1177" s="30"/>
      <c r="C1177" s="30"/>
      <c r="D1177" s="30"/>
      <c r="E1177" s="30"/>
      <c r="F1177" s="88"/>
      <c r="G1177" s="88"/>
      <c r="H1177" s="30"/>
      <c r="I1177" s="96"/>
      <c r="J1177" s="97"/>
      <c r="K1177" s="102"/>
      <c r="L1177" s="103"/>
      <c r="M1177" s="104"/>
      <c r="N1177" s="105"/>
      <c r="O1177" s="98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</row>
    <row r="1178" spans="1:27" x14ac:dyDescent="0.25">
      <c r="A1178" s="88"/>
      <c r="B1178" s="30"/>
      <c r="C1178" s="30"/>
      <c r="D1178" s="30"/>
      <c r="E1178" s="30"/>
      <c r="F1178" s="88"/>
      <c r="G1178" s="88"/>
      <c r="H1178" s="30"/>
      <c r="I1178" s="96"/>
      <c r="J1178" s="97"/>
      <c r="K1178" s="102"/>
      <c r="L1178" s="103"/>
      <c r="M1178" s="104"/>
      <c r="N1178" s="105"/>
      <c r="O1178" s="98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</row>
    <row r="1179" spans="1:27" x14ac:dyDescent="0.25">
      <c r="A1179" s="88"/>
      <c r="B1179" s="30"/>
      <c r="C1179" s="30"/>
      <c r="D1179" s="30"/>
      <c r="E1179" s="30"/>
      <c r="F1179" s="88"/>
      <c r="G1179" s="88"/>
      <c r="H1179" s="30"/>
      <c r="I1179" s="96"/>
      <c r="J1179" s="97"/>
      <c r="K1179" s="102"/>
      <c r="L1179" s="103"/>
      <c r="M1179" s="104"/>
      <c r="N1179" s="105"/>
      <c r="O1179" s="98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</row>
    <row r="1180" spans="1:27" x14ac:dyDescent="0.25">
      <c r="A1180" s="88"/>
      <c r="B1180" s="30"/>
      <c r="C1180" s="30"/>
      <c r="D1180" s="30"/>
      <c r="E1180" s="30"/>
      <c r="F1180" s="88"/>
      <c r="G1180" s="88"/>
      <c r="H1180" s="30"/>
      <c r="I1180" s="96"/>
      <c r="J1180" s="97"/>
      <c r="K1180" s="102"/>
      <c r="L1180" s="103"/>
      <c r="M1180" s="104"/>
      <c r="N1180" s="105"/>
      <c r="O1180" s="98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</row>
    <row r="1181" spans="1:27" x14ac:dyDescent="0.25">
      <c r="A1181" s="88"/>
      <c r="B1181" s="30"/>
      <c r="C1181" s="30"/>
      <c r="D1181" s="30"/>
      <c r="E1181" s="30"/>
      <c r="F1181" s="88"/>
      <c r="G1181" s="88"/>
      <c r="H1181" s="30"/>
      <c r="I1181" s="96"/>
      <c r="J1181" s="97"/>
      <c r="K1181" s="102"/>
      <c r="L1181" s="103"/>
      <c r="M1181" s="104"/>
      <c r="N1181" s="105"/>
      <c r="O1181" s="98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</row>
    <row r="1182" spans="1:27" x14ac:dyDescent="0.25">
      <c r="A1182" s="88"/>
      <c r="B1182" s="30"/>
      <c r="C1182" s="30"/>
      <c r="D1182" s="30"/>
      <c r="E1182" s="30"/>
      <c r="F1182" s="88"/>
      <c r="G1182" s="88"/>
      <c r="H1182" s="30"/>
      <c r="I1182" s="96"/>
      <c r="J1182" s="97"/>
      <c r="K1182" s="102"/>
      <c r="L1182" s="103"/>
      <c r="M1182" s="104"/>
      <c r="N1182" s="105"/>
      <c r="O1182" s="98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</row>
    <row r="1183" spans="1:27" x14ac:dyDescent="0.25">
      <c r="A1183" s="88"/>
      <c r="B1183" s="30"/>
      <c r="C1183" s="30"/>
      <c r="D1183" s="30"/>
      <c r="E1183" s="30"/>
      <c r="F1183" s="88"/>
      <c r="G1183" s="88"/>
      <c r="H1183" s="30"/>
      <c r="I1183" s="96"/>
      <c r="J1183" s="97"/>
      <c r="K1183" s="102"/>
      <c r="L1183" s="103"/>
      <c r="M1183" s="104"/>
      <c r="N1183" s="105"/>
      <c r="O1183" s="98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</row>
    <row r="1184" spans="1:27" x14ac:dyDescent="0.25">
      <c r="A1184" s="88"/>
      <c r="B1184" s="30"/>
      <c r="C1184" s="30"/>
      <c r="D1184" s="30"/>
      <c r="E1184" s="30"/>
      <c r="F1184" s="88"/>
      <c r="G1184" s="88"/>
      <c r="H1184" s="30"/>
      <c r="I1184" s="96"/>
      <c r="J1184" s="97"/>
      <c r="K1184" s="102"/>
      <c r="L1184" s="103"/>
      <c r="M1184" s="104"/>
      <c r="N1184" s="105"/>
      <c r="O1184" s="98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</row>
    <row r="1185" spans="1:27" x14ac:dyDescent="0.25">
      <c r="A1185" s="88"/>
      <c r="B1185" s="30"/>
      <c r="C1185" s="30"/>
      <c r="D1185" s="30"/>
      <c r="E1185" s="30"/>
      <c r="F1185" s="88"/>
      <c r="G1185" s="88"/>
      <c r="H1185" s="30"/>
      <c r="I1185" s="96"/>
      <c r="J1185" s="97"/>
      <c r="K1185" s="102"/>
      <c r="L1185" s="103"/>
      <c r="M1185" s="104"/>
      <c r="N1185" s="105"/>
      <c r="O1185" s="98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</row>
    <row r="1186" spans="1:27" x14ac:dyDescent="0.25">
      <c r="A1186" s="88"/>
      <c r="B1186" s="30"/>
      <c r="C1186" s="30"/>
      <c r="D1186" s="30"/>
      <c r="E1186" s="30"/>
      <c r="F1186" s="88"/>
      <c r="G1186" s="88"/>
      <c r="H1186" s="30"/>
      <c r="I1186" s="96"/>
      <c r="J1186" s="97"/>
      <c r="K1186" s="102"/>
      <c r="L1186" s="103"/>
      <c r="M1186" s="104"/>
      <c r="N1186" s="105"/>
      <c r="O1186" s="98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</row>
    <row r="1187" spans="1:27" x14ac:dyDescent="0.25">
      <c r="A1187" s="88"/>
      <c r="B1187" s="30"/>
      <c r="C1187" s="30"/>
      <c r="D1187" s="30"/>
      <c r="E1187" s="30"/>
      <c r="F1187" s="88"/>
      <c r="G1187" s="88"/>
      <c r="H1187" s="30"/>
      <c r="I1187" s="96"/>
      <c r="J1187" s="97"/>
      <c r="K1187" s="102"/>
      <c r="L1187" s="103"/>
      <c r="M1187" s="104"/>
      <c r="N1187" s="105"/>
      <c r="O1187" s="98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</row>
    <row r="1188" spans="1:27" x14ac:dyDescent="0.25">
      <c r="A1188" s="88"/>
      <c r="B1188" s="30"/>
      <c r="C1188" s="30"/>
      <c r="D1188" s="30"/>
      <c r="E1188" s="30"/>
      <c r="F1188" s="88"/>
      <c r="G1188" s="88"/>
      <c r="H1188" s="30"/>
      <c r="I1188" s="96"/>
      <c r="J1188" s="97"/>
      <c r="K1188" s="102"/>
      <c r="L1188" s="103"/>
      <c r="M1188" s="104"/>
      <c r="N1188" s="105"/>
      <c r="O1188" s="98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</row>
    <row r="1189" spans="1:27" x14ac:dyDescent="0.25">
      <c r="A1189" s="88"/>
      <c r="B1189" s="30"/>
      <c r="C1189" s="30"/>
      <c r="D1189" s="30"/>
      <c r="E1189" s="30"/>
      <c r="F1189" s="88"/>
      <c r="G1189" s="88"/>
      <c r="H1189" s="30"/>
      <c r="I1189" s="96"/>
      <c r="J1189" s="97"/>
      <c r="K1189" s="102"/>
      <c r="L1189" s="103"/>
      <c r="M1189" s="104"/>
      <c r="N1189" s="105"/>
      <c r="O1189" s="98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</row>
    <row r="1190" spans="1:27" x14ac:dyDescent="0.25">
      <c r="A1190" s="88"/>
      <c r="B1190" s="30"/>
      <c r="C1190" s="30"/>
      <c r="D1190" s="30"/>
      <c r="E1190" s="30"/>
      <c r="F1190" s="88"/>
      <c r="G1190" s="88"/>
      <c r="H1190" s="30"/>
      <c r="I1190" s="96"/>
      <c r="J1190" s="97"/>
      <c r="K1190" s="102"/>
      <c r="L1190" s="103"/>
      <c r="M1190" s="104"/>
      <c r="N1190" s="105"/>
      <c r="O1190" s="98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</row>
    <row r="1191" spans="1:27" x14ac:dyDescent="0.25">
      <c r="A1191" s="88"/>
      <c r="B1191" s="30"/>
      <c r="C1191" s="30"/>
      <c r="D1191" s="30"/>
      <c r="E1191" s="30"/>
      <c r="F1191" s="88"/>
      <c r="G1191" s="88"/>
      <c r="H1191" s="30"/>
      <c r="I1191" s="96"/>
      <c r="J1191" s="97"/>
      <c r="K1191" s="102"/>
      <c r="L1191" s="103"/>
      <c r="M1191" s="104"/>
      <c r="N1191" s="105"/>
      <c r="O1191" s="98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</row>
    <row r="1192" spans="1:27" x14ac:dyDescent="0.25">
      <c r="A1192" s="88"/>
      <c r="B1192" s="30"/>
      <c r="C1192" s="30"/>
      <c r="D1192" s="30"/>
      <c r="E1192" s="30"/>
      <c r="F1192" s="88"/>
      <c r="G1192" s="88"/>
      <c r="H1192" s="30"/>
      <c r="I1192" s="96"/>
      <c r="J1192" s="97"/>
      <c r="K1192" s="102"/>
      <c r="L1192" s="103"/>
      <c r="M1192" s="104"/>
      <c r="N1192" s="105"/>
      <c r="O1192" s="98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</row>
    <row r="1193" spans="1:27" x14ac:dyDescent="0.25">
      <c r="A1193" s="88"/>
      <c r="B1193" s="30"/>
      <c r="C1193" s="30"/>
      <c r="D1193" s="30"/>
      <c r="E1193" s="30"/>
      <c r="F1193" s="88"/>
      <c r="G1193" s="88"/>
      <c r="H1193" s="30"/>
      <c r="I1193" s="96"/>
      <c r="J1193" s="97"/>
      <c r="K1193" s="102"/>
      <c r="L1193" s="103"/>
      <c r="M1193" s="104"/>
      <c r="N1193" s="105"/>
      <c r="O1193" s="98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</row>
    <row r="1194" spans="1:27" x14ac:dyDescent="0.25">
      <c r="A1194" s="88"/>
      <c r="B1194" s="30"/>
      <c r="C1194" s="30"/>
      <c r="D1194" s="30"/>
      <c r="E1194" s="30"/>
      <c r="F1194" s="88"/>
      <c r="G1194" s="88"/>
      <c r="H1194" s="30"/>
      <c r="I1194" s="96"/>
      <c r="J1194" s="97"/>
      <c r="K1194" s="102"/>
      <c r="L1194" s="103"/>
      <c r="M1194" s="104"/>
      <c r="N1194" s="105"/>
      <c r="O1194" s="98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</row>
    <row r="1195" spans="1:27" x14ac:dyDescent="0.25">
      <c r="A1195" s="88"/>
      <c r="B1195" s="30"/>
      <c r="C1195" s="30"/>
      <c r="D1195" s="30"/>
      <c r="E1195" s="30"/>
      <c r="F1195" s="88"/>
      <c r="G1195" s="88"/>
      <c r="H1195" s="30"/>
      <c r="I1195" s="96"/>
      <c r="J1195" s="97"/>
      <c r="K1195" s="102"/>
      <c r="L1195" s="103"/>
      <c r="M1195" s="104"/>
      <c r="N1195" s="105"/>
      <c r="O1195" s="98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</row>
    <row r="1196" spans="1:27" x14ac:dyDescent="0.25">
      <c r="A1196" s="88"/>
      <c r="B1196" s="30"/>
      <c r="C1196" s="30"/>
      <c r="D1196" s="30"/>
      <c r="E1196" s="30"/>
      <c r="F1196" s="88"/>
      <c r="G1196" s="88"/>
      <c r="H1196" s="30"/>
      <c r="I1196" s="96"/>
      <c r="J1196" s="97"/>
      <c r="K1196" s="102"/>
      <c r="L1196" s="103"/>
      <c r="M1196" s="104"/>
      <c r="N1196" s="105"/>
      <c r="O1196" s="98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</row>
    <row r="1197" spans="1:27" x14ac:dyDescent="0.25">
      <c r="A1197" s="88"/>
      <c r="B1197" s="30"/>
      <c r="C1197" s="30"/>
      <c r="D1197" s="30"/>
      <c r="E1197" s="30"/>
      <c r="F1197" s="88"/>
      <c r="G1197" s="88"/>
      <c r="H1197" s="30"/>
      <c r="I1197" s="96"/>
      <c r="J1197" s="97"/>
      <c r="K1197" s="102"/>
      <c r="L1197" s="103"/>
      <c r="M1197" s="104"/>
      <c r="N1197" s="105"/>
      <c r="O1197" s="98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</row>
    <row r="1198" spans="1:27" x14ac:dyDescent="0.25">
      <c r="A1198" s="88"/>
      <c r="B1198" s="30"/>
      <c r="C1198" s="30"/>
      <c r="D1198" s="30"/>
      <c r="E1198" s="30"/>
      <c r="F1198" s="88"/>
      <c r="G1198" s="88"/>
      <c r="H1198" s="30"/>
      <c r="I1198" s="96"/>
      <c r="J1198" s="97"/>
      <c r="K1198" s="102"/>
      <c r="L1198" s="103"/>
      <c r="M1198" s="104"/>
      <c r="N1198" s="105"/>
      <c r="O1198" s="98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</row>
    <row r="1199" spans="1:27" x14ac:dyDescent="0.25">
      <c r="A1199" s="88"/>
      <c r="B1199" s="30"/>
      <c r="C1199" s="30"/>
      <c r="D1199" s="30"/>
      <c r="E1199" s="30"/>
      <c r="F1199" s="88"/>
      <c r="G1199" s="88"/>
      <c r="H1199" s="30"/>
      <c r="I1199" s="96"/>
      <c r="J1199" s="97"/>
      <c r="K1199" s="102"/>
      <c r="L1199" s="103"/>
      <c r="M1199" s="104"/>
      <c r="N1199" s="105"/>
      <c r="O1199" s="98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</row>
    <row r="1200" spans="1:27" x14ac:dyDescent="0.25">
      <c r="A1200" s="88"/>
      <c r="B1200" s="30"/>
      <c r="C1200" s="30"/>
      <c r="D1200" s="30"/>
      <c r="E1200" s="30"/>
      <c r="F1200" s="88"/>
      <c r="G1200" s="88"/>
      <c r="H1200" s="30"/>
      <c r="I1200" s="96"/>
      <c r="J1200" s="97"/>
      <c r="K1200" s="102"/>
      <c r="L1200" s="103"/>
      <c r="M1200" s="104"/>
      <c r="N1200" s="105"/>
      <c r="O1200" s="98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</row>
    <row r="1201" spans="1:27" x14ac:dyDescent="0.25">
      <c r="A1201" s="88"/>
      <c r="B1201" s="30"/>
      <c r="C1201" s="30"/>
      <c r="D1201" s="30"/>
      <c r="E1201" s="30"/>
      <c r="F1201" s="88"/>
      <c r="G1201" s="88"/>
      <c r="H1201" s="30"/>
      <c r="I1201" s="96"/>
      <c r="J1201" s="97"/>
      <c r="K1201" s="102"/>
      <c r="L1201" s="103"/>
      <c r="M1201" s="104"/>
      <c r="N1201" s="105"/>
      <c r="O1201" s="98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</row>
    <row r="1202" spans="1:27" x14ac:dyDescent="0.25">
      <c r="A1202" s="88"/>
      <c r="B1202" s="30"/>
      <c r="C1202" s="30"/>
      <c r="D1202" s="30"/>
      <c r="E1202" s="30"/>
      <c r="F1202" s="88"/>
      <c r="G1202" s="88"/>
      <c r="H1202" s="30"/>
      <c r="I1202" s="96"/>
      <c r="J1202" s="97"/>
      <c r="K1202" s="102"/>
      <c r="L1202" s="103"/>
      <c r="M1202" s="104"/>
      <c r="N1202" s="105"/>
      <c r="O1202" s="98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</row>
    <row r="1203" spans="1:27" x14ac:dyDescent="0.25">
      <c r="A1203" s="88"/>
      <c r="B1203" s="30"/>
      <c r="C1203" s="30"/>
      <c r="D1203" s="30"/>
      <c r="E1203" s="30"/>
      <c r="F1203" s="88"/>
      <c r="G1203" s="88"/>
      <c r="H1203" s="30"/>
      <c r="I1203" s="96"/>
      <c r="J1203" s="97"/>
      <c r="K1203" s="102"/>
      <c r="L1203" s="103"/>
      <c r="M1203" s="104"/>
      <c r="N1203" s="105"/>
      <c r="O1203" s="98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</row>
    <row r="1204" spans="1:27" x14ac:dyDescent="0.25">
      <c r="A1204" s="88"/>
      <c r="B1204" s="30"/>
      <c r="C1204" s="30"/>
      <c r="D1204" s="30"/>
      <c r="E1204" s="30"/>
      <c r="F1204" s="88"/>
      <c r="G1204" s="88"/>
      <c r="H1204" s="30"/>
      <c r="I1204" s="96"/>
      <c r="J1204" s="97"/>
      <c r="K1204" s="102"/>
      <c r="L1204" s="103"/>
      <c r="M1204" s="104"/>
      <c r="N1204" s="105"/>
      <c r="O1204" s="98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</row>
    <row r="1205" spans="1:27" x14ac:dyDescent="0.25">
      <c r="A1205" s="88"/>
      <c r="B1205" s="30"/>
      <c r="C1205" s="30"/>
      <c r="D1205" s="30"/>
      <c r="E1205" s="30"/>
      <c r="F1205" s="88"/>
      <c r="G1205" s="88"/>
      <c r="H1205" s="30"/>
      <c r="I1205" s="96"/>
      <c r="J1205" s="97"/>
      <c r="K1205" s="102"/>
      <c r="L1205" s="103"/>
      <c r="M1205" s="104"/>
      <c r="N1205" s="105"/>
      <c r="O1205" s="98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</row>
    <row r="1206" spans="1:27" x14ac:dyDescent="0.25">
      <c r="A1206" s="88"/>
      <c r="B1206" s="30"/>
      <c r="C1206" s="30"/>
      <c r="D1206" s="30"/>
      <c r="E1206" s="30"/>
      <c r="F1206" s="88"/>
      <c r="G1206" s="88"/>
      <c r="H1206" s="30"/>
      <c r="I1206" s="96"/>
      <c r="J1206" s="97"/>
      <c r="K1206" s="102"/>
      <c r="L1206" s="103"/>
      <c r="M1206" s="104"/>
      <c r="N1206" s="105"/>
      <c r="O1206" s="98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</row>
    <row r="1207" spans="1:27" x14ac:dyDescent="0.25">
      <c r="A1207" s="88"/>
      <c r="B1207" s="30"/>
      <c r="C1207" s="30"/>
      <c r="D1207" s="30"/>
      <c r="E1207" s="30"/>
      <c r="F1207" s="88"/>
      <c r="G1207" s="88"/>
      <c r="H1207" s="30"/>
      <c r="I1207" s="96"/>
      <c r="J1207" s="97"/>
      <c r="K1207" s="102"/>
      <c r="L1207" s="103"/>
      <c r="M1207" s="104"/>
      <c r="N1207" s="105"/>
      <c r="O1207" s="98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</row>
    <row r="1208" spans="1:27" x14ac:dyDescent="0.25">
      <c r="A1208" s="88"/>
      <c r="B1208" s="30"/>
      <c r="C1208" s="30"/>
      <c r="D1208" s="30"/>
      <c r="E1208" s="30"/>
      <c r="F1208" s="88"/>
      <c r="G1208" s="88"/>
      <c r="H1208" s="30"/>
      <c r="I1208" s="96"/>
      <c r="J1208" s="97"/>
      <c r="K1208" s="102"/>
      <c r="L1208" s="103"/>
      <c r="M1208" s="104"/>
      <c r="N1208" s="105"/>
      <c r="O1208" s="98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</row>
    <row r="1209" spans="1:27" x14ac:dyDescent="0.25">
      <c r="A1209" s="88"/>
      <c r="B1209" s="30"/>
      <c r="C1209" s="30"/>
      <c r="D1209" s="30"/>
      <c r="E1209" s="30"/>
      <c r="F1209" s="88"/>
      <c r="G1209" s="88"/>
      <c r="H1209" s="30"/>
      <c r="I1209" s="96"/>
      <c r="J1209" s="97"/>
      <c r="K1209" s="102"/>
      <c r="L1209" s="103"/>
      <c r="M1209" s="104"/>
      <c r="N1209" s="105"/>
      <c r="O1209" s="98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</row>
    <row r="1210" spans="1:27" x14ac:dyDescent="0.25">
      <c r="A1210" s="88"/>
      <c r="B1210" s="30"/>
      <c r="C1210" s="30"/>
      <c r="D1210" s="30"/>
      <c r="E1210" s="30"/>
      <c r="F1210" s="88"/>
      <c r="G1210" s="88"/>
      <c r="H1210" s="30"/>
      <c r="I1210" s="96"/>
      <c r="J1210" s="97"/>
      <c r="K1210" s="102"/>
      <c r="L1210" s="103"/>
      <c r="M1210" s="104"/>
      <c r="N1210" s="105"/>
      <c r="O1210" s="98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</row>
    <row r="1211" spans="1:27" x14ac:dyDescent="0.25">
      <c r="A1211" s="88"/>
      <c r="B1211" s="30"/>
      <c r="C1211" s="30"/>
      <c r="D1211" s="30"/>
      <c r="E1211" s="30"/>
      <c r="F1211" s="88"/>
      <c r="G1211" s="88"/>
      <c r="H1211" s="30"/>
      <c r="I1211" s="96"/>
      <c r="J1211" s="97"/>
      <c r="K1211" s="102"/>
      <c r="L1211" s="103"/>
      <c r="M1211" s="104"/>
      <c r="N1211" s="105"/>
      <c r="O1211" s="98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</row>
    <row r="1212" spans="1:27" x14ac:dyDescent="0.25">
      <c r="A1212" s="88"/>
      <c r="B1212" s="30"/>
      <c r="C1212" s="30"/>
      <c r="D1212" s="30"/>
      <c r="E1212" s="30"/>
      <c r="F1212" s="88"/>
      <c r="G1212" s="88"/>
      <c r="H1212" s="30"/>
      <c r="I1212" s="96"/>
      <c r="J1212" s="97"/>
      <c r="K1212" s="102"/>
      <c r="L1212" s="103"/>
      <c r="M1212" s="104"/>
      <c r="N1212" s="105"/>
      <c r="O1212" s="98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</row>
    <row r="1213" spans="1:27" x14ac:dyDescent="0.25">
      <c r="A1213" s="88"/>
      <c r="B1213" s="30"/>
      <c r="C1213" s="30"/>
      <c r="D1213" s="30"/>
      <c r="E1213" s="30"/>
      <c r="F1213" s="88"/>
      <c r="G1213" s="88"/>
      <c r="H1213" s="30"/>
      <c r="I1213" s="96"/>
      <c r="J1213" s="97"/>
      <c r="K1213" s="102"/>
      <c r="L1213" s="103"/>
      <c r="M1213" s="104"/>
      <c r="N1213" s="105"/>
      <c r="O1213" s="98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</row>
    <row r="1214" spans="1:27" x14ac:dyDescent="0.25">
      <c r="A1214" s="88"/>
      <c r="B1214" s="30"/>
      <c r="C1214" s="30"/>
      <c r="D1214" s="30"/>
      <c r="E1214" s="30"/>
      <c r="F1214" s="88"/>
      <c r="G1214" s="88"/>
      <c r="H1214" s="30"/>
      <c r="I1214" s="96"/>
      <c r="J1214" s="97"/>
      <c r="K1214" s="102"/>
      <c r="L1214" s="103"/>
      <c r="M1214" s="104"/>
      <c r="N1214" s="105"/>
      <c r="O1214" s="98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</row>
    <row r="1215" spans="1:27" x14ac:dyDescent="0.25">
      <c r="A1215" s="88"/>
      <c r="B1215" s="30"/>
      <c r="C1215" s="30"/>
      <c r="D1215" s="30"/>
      <c r="E1215" s="30"/>
      <c r="F1215" s="88"/>
      <c r="G1215" s="88"/>
      <c r="H1215" s="30"/>
      <c r="I1215" s="96"/>
      <c r="J1215" s="97"/>
      <c r="K1215" s="102"/>
      <c r="L1215" s="103"/>
      <c r="M1215" s="104"/>
      <c r="N1215" s="105"/>
      <c r="O1215" s="98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</row>
    <row r="1216" spans="1:27" x14ac:dyDescent="0.25">
      <c r="A1216" s="88"/>
      <c r="B1216" s="30"/>
      <c r="C1216" s="30"/>
      <c r="D1216" s="30"/>
      <c r="E1216" s="30"/>
      <c r="F1216" s="88"/>
      <c r="G1216" s="88"/>
      <c r="H1216" s="30"/>
      <c r="I1216" s="96"/>
      <c r="J1216" s="97"/>
      <c r="K1216" s="102"/>
      <c r="L1216" s="103"/>
      <c r="M1216" s="104"/>
      <c r="N1216" s="105"/>
      <c r="O1216" s="98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</row>
    <row r="1217" spans="1:27" x14ac:dyDescent="0.25">
      <c r="A1217" s="88"/>
      <c r="B1217" s="30"/>
      <c r="C1217" s="30"/>
      <c r="D1217" s="30"/>
      <c r="E1217" s="30"/>
      <c r="F1217" s="88"/>
      <c r="G1217" s="88"/>
      <c r="H1217" s="30"/>
      <c r="I1217" s="96"/>
      <c r="J1217" s="97"/>
      <c r="K1217" s="102"/>
      <c r="L1217" s="103"/>
      <c r="M1217" s="104"/>
      <c r="N1217" s="105"/>
      <c r="O1217" s="98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</row>
    <row r="1218" spans="1:27" x14ac:dyDescent="0.25">
      <c r="A1218" s="88"/>
      <c r="B1218" s="30"/>
      <c r="C1218" s="30"/>
      <c r="D1218" s="30"/>
      <c r="E1218" s="30"/>
      <c r="F1218" s="88"/>
      <c r="G1218" s="88"/>
      <c r="H1218" s="30"/>
      <c r="I1218" s="96"/>
      <c r="J1218" s="97"/>
      <c r="K1218" s="102"/>
      <c r="L1218" s="103"/>
      <c r="M1218" s="104"/>
      <c r="N1218" s="105"/>
      <c r="O1218" s="98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</row>
    <row r="1219" spans="1:27" x14ac:dyDescent="0.25">
      <c r="A1219" s="88"/>
      <c r="B1219" s="30"/>
      <c r="C1219" s="30"/>
      <c r="D1219" s="30"/>
      <c r="E1219" s="30"/>
      <c r="F1219" s="88"/>
      <c r="G1219" s="88"/>
      <c r="H1219" s="30"/>
      <c r="I1219" s="96"/>
      <c r="J1219" s="97"/>
      <c r="K1219" s="102"/>
      <c r="L1219" s="103"/>
      <c r="M1219" s="104"/>
      <c r="N1219" s="105"/>
      <c r="O1219" s="98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</row>
    <row r="1220" spans="1:27" x14ac:dyDescent="0.25">
      <c r="A1220" s="88"/>
      <c r="B1220" s="30"/>
      <c r="C1220" s="30"/>
      <c r="D1220" s="30"/>
      <c r="E1220" s="30"/>
      <c r="F1220" s="88"/>
      <c r="G1220" s="88"/>
      <c r="H1220" s="30"/>
      <c r="I1220" s="96"/>
      <c r="J1220" s="97"/>
      <c r="K1220" s="102"/>
      <c r="L1220" s="103"/>
      <c r="M1220" s="104"/>
      <c r="N1220" s="105"/>
      <c r="O1220" s="98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</row>
    <row r="1221" spans="1:27" x14ac:dyDescent="0.25">
      <c r="A1221" s="88"/>
      <c r="B1221" s="30"/>
      <c r="C1221" s="30"/>
      <c r="D1221" s="30"/>
      <c r="E1221" s="30"/>
      <c r="F1221" s="88"/>
      <c r="G1221" s="88"/>
      <c r="H1221" s="30"/>
      <c r="I1221" s="96"/>
      <c r="J1221" s="97"/>
      <c r="K1221" s="102"/>
      <c r="L1221" s="103"/>
      <c r="M1221" s="104"/>
      <c r="N1221" s="105"/>
      <c r="O1221" s="98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</row>
    <row r="1222" spans="1:27" x14ac:dyDescent="0.25">
      <c r="A1222" s="88"/>
      <c r="B1222" s="30"/>
      <c r="C1222" s="30"/>
      <c r="D1222" s="30"/>
      <c r="E1222" s="30"/>
      <c r="F1222" s="88"/>
      <c r="G1222" s="88"/>
      <c r="H1222" s="30"/>
      <c r="I1222" s="96"/>
      <c r="J1222" s="97"/>
      <c r="K1222" s="102"/>
      <c r="L1222" s="103"/>
      <c r="M1222" s="104"/>
      <c r="N1222" s="105"/>
      <c r="O1222" s="98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</row>
    <row r="1223" spans="1:27" x14ac:dyDescent="0.25">
      <c r="A1223" s="88"/>
      <c r="B1223" s="30"/>
      <c r="C1223" s="30"/>
      <c r="D1223" s="30"/>
      <c r="E1223" s="30"/>
      <c r="F1223" s="88"/>
      <c r="G1223" s="88"/>
      <c r="H1223" s="30"/>
      <c r="I1223" s="96"/>
      <c r="J1223" s="97"/>
      <c r="K1223" s="102"/>
      <c r="L1223" s="103"/>
      <c r="M1223" s="104"/>
      <c r="N1223" s="105"/>
      <c r="O1223" s="98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</row>
    <row r="1224" spans="1:27" x14ac:dyDescent="0.25">
      <c r="A1224" s="88"/>
      <c r="B1224" s="30"/>
      <c r="C1224" s="30"/>
      <c r="D1224" s="30"/>
      <c r="E1224" s="30"/>
      <c r="F1224" s="88"/>
      <c r="G1224" s="88"/>
      <c r="H1224" s="30"/>
      <c r="I1224" s="96"/>
      <c r="J1224" s="97"/>
      <c r="K1224" s="102"/>
      <c r="L1224" s="103"/>
      <c r="M1224" s="104"/>
      <c r="N1224" s="105"/>
      <c r="O1224" s="98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</row>
    <row r="1225" spans="1:27" x14ac:dyDescent="0.25">
      <c r="A1225" s="88"/>
      <c r="B1225" s="30"/>
      <c r="C1225" s="30"/>
      <c r="D1225" s="30"/>
      <c r="E1225" s="30"/>
      <c r="F1225" s="88"/>
      <c r="G1225" s="88"/>
      <c r="H1225" s="30"/>
      <c r="I1225" s="96"/>
      <c r="J1225" s="97"/>
      <c r="K1225" s="102"/>
      <c r="L1225" s="103"/>
      <c r="M1225" s="104"/>
      <c r="N1225" s="105"/>
      <c r="O1225" s="98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</row>
    <row r="1226" spans="1:27" x14ac:dyDescent="0.25">
      <c r="A1226" s="88"/>
      <c r="B1226" s="30"/>
      <c r="C1226" s="30"/>
      <c r="D1226" s="30"/>
      <c r="E1226" s="30"/>
      <c r="F1226" s="88"/>
      <c r="G1226" s="88"/>
      <c r="H1226" s="30"/>
      <c r="I1226" s="96"/>
      <c r="J1226" s="97"/>
      <c r="K1226" s="102"/>
      <c r="L1226" s="103"/>
      <c r="M1226" s="104"/>
      <c r="N1226" s="105"/>
      <c r="O1226" s="98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</row>
    <row r="1227" spans="1:27" x14ac:dyDescent="0.25">
      <c r="A1227" s="88"/>
      <c r="B1227" s="30"/>
      <c r="C1227" s="30"/>
      <c r="D1227" s="30"/>
      <c r="E1227" s="30"/>
      <c r="F1227" s="88"/>
      <c r="G1227" s="88"/>
      <c r="H1227" s="30"/>
      <c r="I1227" s="96"/>
      <c r="J1227" s="97"/>
      <c r="K1227" s="102"/>
      <c r="L1227" s="103"/>
      <c r="M1227" s="104"/>
      <c r="N1227" s="105"/>
      <c r="O1227" s="98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</row>
    <row r="1228" spans="1:27" x14ac:dyDescent="0.25">
      <c r="A1228" s="88"/>
      <c r="B1228" s="30"/>
      <c r="C1228" s="30"/>
      <c r="D1228" s="30"/>
      <c r="E1228" s="30"/>
      <c r="F1228" s="88"/>
      <c r="G1228" s="88"/>
      <c r="H1228" s="30"/>
      <c r="I1228" s="96"/>
      <c r="J1228" s="97"/>
      <c r="K1228" s="102"/>
      <c r="L1228" s="103"/>
      <c r="M1228" s="104"/>
      <c r="N1228" s="105"/>
      <c r="O1228" s="98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</row>
    <row r="1229" spans="1:27" x14ac:dyDescent="0.25">
      <c r="A1229" s="88"/>
      <c r="B1229" s="30"/>
      <c r="C1229" s="30"/>
      <c r="D1229" s="30"/>
      <c r="E1229" s="30"/>
      <c r="F1229" s="88"/>
      <c r="G1229" s="88"/>
      <c r="H1229" s="30"/>
      <c r="I1229" s="96"/>
      <c r="J1229" s="97"/>
      <c r="K1229" s="102"/>
      <c r="L1229" s="103"/>
      <c r="M1229" s="104"/>
      <c r="N1229" s="105"/>
      <c r="O1229" s="98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</row>
    <row r="1230" spans="1:27" x14ac:dyDescent="0.25">
      <c r="A1230" s="88"/>
      <c r="B1230" s="30"/>
      <c r="C1230" s="30"/>
      <c r="D1230" s="30"/>
      <c r="E1230" s="30"/>
      <c r="F1230" s="88"/>
      <c r="G1230" s="88"/>
      <c r="H1230" s="30"/>
      <c r="I1230" s="96"/>
      <c r="J1230" s="97"/>
      <c r="K1230" s="102"/>
      <c r="L1230" s="103"/>
      <c r="M1230" s="104"/>
      <c r="N1230" s="105"/>
      <c r="O1230" s="98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</row>
    <row r="1231" spans="1:27" x14ac:dyDescent="0.25">
      <c r="A1231" s="88"/>
      <c r="B1231" s="30"/>
      <c r="C1231" s="30"/>
      <c r="D1231" s="30"/>
      <c r="E1231" s="30"/>
      <c r="F1231" s="88"/>
      <c r="G1231" s="88"/>
      <c r="H1231" s="30"/>
      <c r="I1231" s="96"/>
      <c r="J1231" s="97"/>
      <c r="K1231" s="102"/>
      <c r="L1231" s="103"/>
      <c r="M1231" s="104"/>
      <c r="N1231" s="105"/>
      <c r="O1231" s="98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</row>
    <row r="1232" spans="1:27" x14ac:dyDescent="0.25">
      <c r="A1232" s="88"/>
      <c r="B1232" s="30"/>
      <c r="C1232" s="30"/>
      <c r="D1232" s="30"/>
      <c r="E1232" s="30"/>
      <c r="F1232" s="88"/>
      <c r="G1232" s="88"/>
      <c r="H1232" s="30"/>
      <c r="I1232" s="96"/>
      <c r="J1232" s="97"/>
      <c r="K1232" s="102"/>
      <c r="L1232" s="103"/>
      <c r="M1232" s="104"/>
      <c r="N1232" s="105"/>
      <c r="O1232" s="98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</row>
    <row r="1233" spans="1:27" x14ac:dyDescent="0.25">
      <c r="A1233" s="88"/>
      <c r="B1233" s="30"/>
      <c r="C1233" s="30"/>
      <c r="D1233" s="30"/>
      <c r="E1233" s="30"/>
      <c r="F1233" s="88"/>
      <c r="G1233" s="88"/>
      <c r="H1233" s="30"/>
      <c r="I1233" s="96"/>
      <c r="J1233" s="97"/>
      <c r="K1233" s="102"/>
      <c r="L1233" s="103"/>
      <c r="M1233" s="104"/>
      <c r="N1233" s="105"/>
      <c r="O1233" s="98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</row>
    <row r="1234" spans="1:27" x14ac:dyDescent="0.25">
      <c r="A1234" s="88"/>
      <c r="B1234" s="30"/>
      <c r="C1234" s="30"/>
      <c r="D1234" s="30"/>
      <c r="E1234" s="30"/>
      <c r="F1234" s="88"/>
      <c r="G1234" s="88"/>
      <c r="H1234" s="30"/>
      <c r="I1234" s="96"/>
      <c r="J1234" s="97"/>
      <c r="K1234" s="102"/>
      <c r="L1234" s="103"/>
      <c r="M1234" s="104"/>
      <c r="N1234" s="105"/>
      <c r="O1234" s="98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</row>
    <row r="1235" spans="1:27" x14ac:dyDescent="0.25">
      <c r="A1235" s="88"/>
      <c r="B1235" s="30"/>
      <c r="C1235" s="30"/>
      <c r="D1235" s="30"/>
      <c r="E1235" s="30"/>
      <c r="F1235" s="88"/>
      <c r="G1235" s="88"/>
      <c r="H1235" s="30"/>
      <c r="I1235" s="96"/>
      <c r="J1235" s="97"/>
      <c r="K1235" s="102"/>
      <c r="L1235" s="103"/>
      <c r="M1235" s="104"/>
      <c r="N1235" s="105"/>
      <c r="O1235" s="98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</row>
    <row r="1236" spans="1:27" x14ac:dyDescent="0.25">
      <c r="A1236" s="88"/>
      <c r="B1236" s="30"/>
      <c r="C1236" s="30"/>
      <c r="D1236" s="30"/>
      <c r="E1236" s="30"/>
      <c r="F1236" s="88"/>
      <c r="G1236" s="88"/>
      <c r="H1236" s="30"/>
      <c r="I1236" s="96"/>
      <c r="J1236" s="97"/>
      <c r="K1236" s="102"/>
      <c r="L1236" s="103"/>
      <c r="M1236" s="104"/>
      <c r="N1236" s="105"/>
      <c r="O1236" s="98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</row>
    <row r="1237" spans="1:27" x14ac:dyDescent="0.25">
      <c r="A1237" s="88"/>
      <c r="B1237" s="30"/>
      <c r="C1237" s="30"/>
      <c r="D1237" s="30"/>
      <c r="E1237" s="30"/>
      <c r="F1237" s="88"/>
      <c r="G1237" s="88"/>
      <c r="H1237" s="30"/>
      <c r="I1237" s="96"/>
      <c r="J1237" s="97"/>
      <c r="K1237" s="102"/>
      <c r="L1237" s="103"/>
      <c r="M1237" s="104"/>
      <c r="N1237" s="105"/>
      <c r="O1237" s="98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</row>
    <row r="1238" spans="1:27" x14ac:dyDescent="0.25">
      <c r="A1238" s="88"/>
      <c r="B1238" s="30"/>
      <c r="C1238" s="30"/>
      <c r="D1238" s="30"/>
      <c r="E1238" s="30"/>
      <c r="F1238" s="88"/>
      <c r="G1238" s="88"/>
      <c r="H1238" s="30"/>
      <c r="I1238" s="96"/>
      <c r="J1238" s="97"/>
      <c r="K1238" s="102"/>
      <c r="L1238" s="103"/>
      <c r="M1238" s="104"/>
      <c r="N1238" s="105"/>
      <c r="O1238" s="98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</row>
    <row r="1239" spans="1:27" x14ac:dyDescent="0.25">
      <c r="A1239" s="88"/>
      <c r="B1239" s="30"/>
      <c r="C1239" s="30"/>
      <c r="D1239" s="30"/>
      <c r="E1239" s="30"/>
      <c r="F1239" s="88"/>
      <c r="G1239" s="88"/>
      <c r="H1239" s="30"/>
      <c r="I1239" s="96"/>
      <c r="J1239" s="97"/>
      <c r="K1239" s="102"/>
      <c r="L1239" s="103"/>
      <c r="M1239" s="104"/>
      <c r="N1239" s="105"/>
      <c r="O1239" s="98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</row>
    <row r="1240" spans="1:27" x14ac:dyDescent="0.25">
      <c r="A1240" s="88"/>
      <c r="B1240" s="30"/>
      <c r="C1240" s="30"/>
      <c r="D1240" s="30"/>
      <c r="E1240" s="30"/>
      <c r="F1240" s="88"/>
      <c r="G1240" s="88"/>
      <c r="H1240" s="30"/>
      <c r="I1240" s="96"/>
      <c r="J1240" s="97"/>
      <c r="K1240" s="102"/>
      <c r="L1240" s="103"/>
      <c r="M1240" s="104"/>
      <c r="N1240" s="105"/>
      <c r="O1240" s="98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</row>
    <row r="1241" spans="1:27" x14ac:dyDescent="0.25">
      <c r="A1241" s="88"/>
      <c r="B1241" s="30"/>
      <c r="C1241" s="30"/>
      <c r="D1241" s="30"/>
      <c r="E1241" s="30"/>
      <c r="F1241" s="88"/>
      <c r="G1241" s="88"/>
      <c r="H1241" s="30"/>
      <c r="I1241" s="96"/>
      <c r="J1241" s="97"/>
      <c r="K1241" s="102"/>
      <c r="L1241" s="103"/>
      <c r="M1241" s="104"/>
      <c r="N1241" s="105"/>
      <c r="O1241" s="98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</row>
    <row r="1242" spans="1:27" x14ac:dyDescent="0.25">
      <c r="A1242" s="88"/>
      <c r="B1242" s="30"/>
      <c r="C1242" s="30"/>
      <c r="D1242" s="30"/>
      <c r="E1242" s="30"/>
      <c r="F1242" s="88"/>
      <c r="G1242" s="88"/>
      <c r="H1242" s="30"/>
      <c r="I1242" s="96"/>
      <c r="J1242" s="97"/>
      <c r="K1242" s="102"/>
      <c r="L1242" s="103"/>
      <c r="M1242" s="104"/>
      <c r="N1242" s="105"/>
      <c r="O1242" s="98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</row>
    <row r="1243" spans="1:27" x14ac:dyDescent="0.25">
      <c r="A1243" s="88"/>
      <c r="B1243" s="30"/>
      <c r="C1243" s="30"/>
      <c r="D1243" s="30"/>
      <c r="E1243" s="30"/>
      <c r="F1243" s="88"/>
      <c r="G1243" s="88"/>
      <c r="H1243" s="30"/>
      <c r="I1243" s="96"/>
      <c r="J1243" s="97"/>
      <c r="K1243" s="102"/>
      <c r="L1243" s="103"/>
      <c r="M1243" s="104"/>
      <c r="N1243" s="105"/>
      <c r="O1243" s="98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</row>
    <row r="1244" spans="1:27" x14ac:dyDescent="0.25">
      <c r="A1244" s="88"/>
      <c r="B1244" s="30"/>
      <c r="C1244" s="30"/>
      <c r="D1244" s="30"/>
      <c r="E1244" s="30"/>
      <c r="F1244" s="88"/>
      <c r="G1244" s="88"/>
      <c r="H1244" s="30"/>
      <c r="I1244" s="96"/>
      <c r="J1244" s="97"/>
      <c r="K1244" s="102"/>
      <c r="L1244" s="103"/>
      <c r="M1244" s="104"/>
      <c r="N1244" s="105"/>
      <c r="O1244" s="98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</row>
    <row r="1245" spans="1:27" x14ac:dyDescent="0.25">
      <c r="A1245" s="88"/>
      <c r="B1245" s="30"/>
      <c r="C1245" s="30"/>
      <c r="D1245" s="30"/>
      <c r="E1245" s="30"/>
      <c r="F1245" s="88"/>
      <c r="G1245" s="88"/>
      <c r="H1245" s="30"/>
      <c r="I1245" s="96"/>
      <c r="J1245" s="97"/>
      <c r="K1245" s="102"/>
      <c r="L1245" s="103"/>
      <c r="M1245" s="104"/>
      <c r="N1245" s="105"/>
      <c r="O1245" s="98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</row>
    <row r="1246" spans="1:27" x14ac:dyDescent="0.25">
      <c r="A1246" s="88"/>
      <c r="B1246" s="30"/>
      <c r="C1246" s="30"/>
      <c r="D1246" s="30"/>
      <c r="E1246" s="30"/>
      <c r="F1246" s="88"/>
      <c r="G1246" s="88"/>
      <c r="H1246" s="30"/>
      <c r="I1246" s="96"/>
      <c r="J1246" s="97"/>
      <c r="K1246" s="102"/>
      <c r="L1246" s="103"/>
      <c r="M1246" s="104"/>
      <c r="N1246" s="105"/>
      <c r="O1246" s="98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</row>
    <row r="1247" spans="1:27" x14ac:dyDescent="0.25">
      <c r="A1247" s="88"/>
      <c r="B1247" s="30"/>
      <c r="C1247" s="30"/>
      <c r="D1247" s="30"/>
      <c r="E1247" s="30"/>
      <c r="F1247" s="88"/>
      <c r="G1247" s="88"/>
      <c r="H1247" s="30"/>
      <c r="I1247" s="96"/>
      <c r="J1247" s="97"/>
      <c r="K1247" s="102"/>
      <c r="L1247" s="103"/>
      <c r="M1247" s="104"/>
      <c r="N1247" s="105"/>
      <c r="O1247" s="98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</row>
    <row r="1248" spans="1:27" x14ac:dyDescent="0.25">
      <c r="A1248" s="88"/>
      <c r="B1248" s="30"/>
      <c r="C1248" s="30"/>
      <c r="D1248" s="30"/>
      <c r="E1248" s="30"/>
      <c r="F1248" s="88"/>
      <c r="G1248" s="88"/>
      <c r="H1248" s="30"/>
      <c r="I1248" s="96"/>
      <c r="J1248" s="97"/>
      <c r="K1248" s="102"/>
      <c r="L1248" s="103"/>
      <c r="M1248" s="104"/>
      <c r="N1248" s="105"/>
      <c r="O1248" s="98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</row>
    <row r="1249" spans="1:27" x14ac:dyDescent="0.25">
      <c r="A1249" s="88"/>
      <c r="B1249" s="30"/>
      <c r="C1249" s="30"/>
      <c r="D1249" s="30"/>
      <c r="E1249" s="30"/>
      <c r="F1249" s="88"/>
      <c r="G1249" s="88"/>
      <c r="H1249" s="30"/>
      <c r="I1249" s="96"/>
      <c r="J1249" s="97"/>
      <c r="K1249" s="102"/>
      <c r="L1249" s="103"/>
      <c r="M1249" s="104"/>
      <c r="N1249" s="105"/>
      <c r="O1249" s="98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</row>
    <row r="1250" spans="1:27" x14ac:dyDescent="0.25">
      <c r="A1250" s="88"/>
      <c r="B1250" s="30"/>
      <c r="C1250" s="30"/>
      <c r="D1250" s="30"/>
      <c r="E1250" s="30"/>
      <c r="F1250" s="88"/>
      <c r="G1250" s="88"/>
      <c r="H1250" s="30"/>
      <c r="I1250" s="96"/>
      <c r="J1250" s="97"/>
      <c r="K1250" s="102"/>
      <c r="L1250" s="103"/>
      <c r="M1250" s="104"/>
      <c r="N1250" s="105"/>
      <c r="O1250" s="98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</row>
    <row r="1251" spans="1:27" x14ac:dyDescent="0.25">
      <c r="A1251" s="88"/>
      <c r="B1251" s="30"/>
      <c r="C1251" s="30"/>
      <c r="D1251" s="30"/>
      <c r="E1251" s="30"/>
      <c r="F1251" s="88"/>
      <c r="G1251" s="88"/>
      <c r="H1251" s="30"/>
      <c r="I1251" s="96"/>
      <c r="J1251" s="97"/>
      <c r="K1251" s="102"/>
      <c r="L1251" s="103"/>
      <c r="M1251" s="104"/>
      <c r="N1251" s="105"/>
      <c r="O1251" s="98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</row>
    <row r="1252" spans="1:27" x14ac:dyDescent="0.25">
      <c r="A1252" s="88"/>
      <c r="B1252" s="30"/>
      <c r="C1252" s="30"/>
      <c r="D1252" s="30"/>
      <c r="E1252" s="30"/>
      <c r="F1252" s="88"/>
      <c r="G1252" s="88"/>
      <c r="H1252" s="30"/>
      <c r="I1252" s="96"/>
      <c r="J1252" s="97"/>
      <c r="K1252" s="102"/>
      <c r="L1252" s="103"/>
      <c r="M1252" s="104"/>
      <c r="N1252" s="105"/>
      <c r="O1252" s="98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</row>
    <row r="1253" spans="1:27" x14ac:dyDescent="0.25">
      <c r="A1253" s="88"/>
      <c r="B1253" s="30"/>
      <c r="C1253" s="30"/>
      <c r="D1253" s="30"/>
      <c r="E1253" s="30"/>
      <c r="F1253" s="88"/>
      <c r="G1253" s="88"/>
      <c r="H1253" s="30"/>
      <c r="I1253" s="96"/>
      <c r="J1253" s="97"/>
      <c r="K1253" s="102"/>
      <c r="L1253" s="103"/>
      <c r="M1253" s="104"/>
      <c r="N1253" s="105"/>
      <c r="O1253" s="98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</row>
    <row r="1254" spans="1:27" x14ac:dyDescent="0.25">
      <c r="A1254" s="88"/>
      <c r="B1254" s="30"/>
      <c r="C1254" s="30"/>
      <c r="D1254" s="30"/>
      <c r="E1254" s="30"/>
      <c r="F1254" s="88"/>
      <c r="G1254" s="88"/>
      <c r="H1254" s="30"/>
      <c r="I1254" s="96"/>
      <c r="J1254" s="97"/>
      <c r="K1254" s="102"/>
      <c r="L1254" s="103"/>
      <c r="M1254" s="104"/>
      <c r="N1254" s="105"/>
      <c r="O1254" s="98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</row>
    <row r="1255" spans="1:27" x14ac:dyDescent="0.25">
      <c r="A1255" s="88"/>
      <c r="B1255" s="30"/>
      <c r="C1255" s="30"/>
      <c r="D1255" s="30"/>
      <c r="E1255" s="30"/>
      <c r="F1255" s="88"/>
      <c r="G1255" s="88"/>
      <c r="H1255" s="30"/>
      <c r="I1255" s="96"/>
      <c r="J1255" s="97"/>
      <c r="K1255" s="102"/>
      <c r="L1255" s="103"/>
      <c r="M1255" s="104"/>
      <c r="N1255" s="105"/>
      <c r="O1255" s="98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</row>
    <row r="1256" spans="1:27" x14ac:dyDescent="0.25">
      <c r="A1256" s="88"/>
      <c r="B1256" s="30"/>
      <c r="C1256" s="30"/>
      <c r="D1256" s="30"/>
      <c r="E1256" s="30"/>
      <c r="F1256" s="88"/>
      <c r="G1256" s="88"/>
      <c r="H1256" s="30"/>
      <c r="I1256" s="96"/>
      <c r="J1256" s="97"/>
      <c r="K1256" s="102"/>
      <c r="L1256" s="103"/>
      <c r="M1256" s="104"/>
      <c r="N1256" s="105"/>
      <c r="O1256" s="98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</row>
    <row r="1257" spans="1:27" x14ac:dyDescent="0.25">
      <c r="A1257" s="88"/>
      <c r="B1257" s="30"/>
      <c r="C1257" s="30"/>
      <c r="D1257" s="30"/>
      <c r="E1257" s="30"/>
      <c r="F1257" s="88"/>
      <c r="G1257" s="88"/>
      <c r="H1257" s="30"/>
      <c r="I1257" s="96"/>
      <c r="J1257" s="97"/>
      <c r="K1257" s="102"/>
      <c r="L1257" s="103"/>
      <c r="M1257" s="104"/>
      <c r="N1257" s="105"/>
      <c r="O1257" s="98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</row>
    <row r="1258" spans="1:27" x14ac:dyDescent="0.25">
      <c r="A1258" s="88"/>
      <c r="B1258" s="30"/>
      <c r="C1258" s="30"/>
      <c r="D1258" s="30"/>
      <c r="E1258" s="30"/>
      <c r="F1258" s="88"/>
      <c r="G1258" s="88"/>
      <c r="H1258" s="30"/>
      <c r="I1258" s="96"/>
      <c r="J1258" s="97"/>
      <c r="K1258" s="102"/>
      <c r="L1258" s="103"/>
      <c r="M1258" s="104"/>
      <c r="N1258" s="105"/>
      <c r="O1258" s="98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</row>
    <row r="1259" spans="1:27" x14ac:dyDescent="0.25">
      <c r="A1259" s="88"/>
      <c r="B1259" s="30"/>
      <c r="C1259" s="30"/>
      <c r="D1259" s="30"/>
      <c r="E1259" s="30"/>
      <c r="F1259" s="88"/>
      <c r="G1259" s="88"/>
      <c r="H1259" s="30"/>
      <c r="I1259" s="96"/>
      <c r="J1259" s="97"/>
      <c r="K1259" s="102"/>
      <c r="L1259" s="103"/>
      <c r="M1259" s="104"/>
      <c r="N1259" s="105"/>
      <c r="O1259" s="98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</row>
    <row r="1260" spans="1:27" x14ac:dyDescent="0.25">
      <c r="A1260" s="88"/>
      <c r="B1260" s="30"/>
      <c r="C1260" s="30"/>
      <c r="D1260" s="30"/>
      <c r="E1260" s="30"/>
      <c r="F1260" s="88"/>
      <c r="G1260" s="88"/>
      <c r="H1260" s="30"/>
      <c r="I1260" s="96"/>
      <c r="J1260" s="97"/>
      <c r="K1260" s="102"/>
      <c r="L1260" s="103"/>
      <c r="M1260" s="104"/>
      <c r="N1260" s="105"/>
      <c r="O1260" s="98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</row>
    <row r="1261" spans="1:27" x14ac:dyDescent="0.25">
      <c r="A1261" s="88"/>
      <c r="B1261" s="30"/>
      <c r="C1261" s="30"/>
      <c r="D1261" s="30"/>
      <c r="E1261" s="30"/>
      <c r="F1261" s="88"/>
      <c r="G1261" s="88"/>
      <c r="H1261" s="30"/>
      <c r="I1261" s="96"/>
      <c r="J1261" s="97"/>
      <c r="K1261" s="102"/>
      <c r="L1261" s="103"/>
      <c r="M1261" s="104"/>
      <c r="N1261" s="105"/>
      <c r="O1261" s="98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</row>
    <row r="1262" spans="1:27" x14ac:dyDescent="0.25">
      <c r="A1262" s="88"/>
      <c r="B1262" s="30"/>
      <c r="C1262" s="30"/>
      <c r="D1262" s="30"/>
      <c r="E1262" s="30"/>
      <c r="F1262" s="88"/>
      <c r="G1262" s="88"/>
      <c r="H1262" s="30"/>
      <c r="I1262" s="96"/>
      <c r="J1262" s="97"/>
      <c r="K1262" s="102"/>
      <c r="L1262" s="103"/>
      <c r="M1262" s="104"/>
      <c r="N1262" s="105"/>
      <c r="O1262" s="98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</row>
    <row r="1263" spans="1:27" x14ac:dyDescent="0.25">
      <c r="A1263" s="88"/>
      <c r="B1263" s="30"/>
      <c r="C1263" s="30"/>
      <c r="D1263" s="30"/>
      <c r="E1263" s="30"/>
      <c r="F1263" s="88"/>
      <c r="G1263" s="88"/>
      <c r="H1263" s="30"/>
      <c r="I1263" s="96"/>
      <c r="J1263" s="97"/>
      <c r="K1263" s="102"/>
      <c r="L1263" s="103"/>
      <c r="M1263" s="104"/>
      <c r="N1263" s="105"/>
      <c r="O1263" s="98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</row>
    <row r="1264" spans="1:27" x14ac:dyDescent="0.25">
      <c r="A1264" s="88"/>
      <c r="B1264" s="30"/>
      <c r="C1264" s="30"/>
      <c r="D1264" s="30"/>
      <c r="E1264" s="30"/>
      <c r="F1264" s="88"/>
      <c r="G1264" s="88"/>
      <c r="H1264" s="30"/>
      <c r="I1264" s="96"/>
      <c r="J1264" s="97"/>
      <c r="K1264" s="102"/>
      <c r="L1264" s="103"/>
      <c r="M1264" s="104"/>
      <c r="N1264" s="105"/>
      <c r="O1264" s="98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</row>
    <row r="1265" spans="1:27" x14ac:dyDescent="0.25">
      <c r="A1265" s="88"/>
      <c r="B1265" s="30"/>
      <c r="C1265" s="30"/>
      <c r="D1265" s="30"/>
      <c r="E1265" s="30"/>
      <c r="F1265" s="88"/>
      <c r="G1265" s="88"/>
      <c r="H1265" s="30"/>
      <c r="I1265" s="96"/>
      <c r="J1265" s="97"/>
      <c r="K1265" s="102"/>
      <c r="L1265" s="103"/>
      <c r="M1265" s="104"/>
      <c r="N1265" s="105"/>
      <c r="O1265" s="98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</row>
    <row r="1266" spans="1:27" x14ac:dyDescent="0.25">
      <c r="A1266" s="88"/>
      <c r="B1266" s="30"/>
      <c r="C1266" s="30"/>
      <c r="D1266" s="30"/>
      <c r="E1266" s="30"/>
      <c r="F1266" s="88"/>
      <c r="G1266" s="88"/>
      <c r="H1266" s="30"/>
      <c r="I1266" s="96"/>
      <c r="J1266" s="97"/>
      <c r="K1266" s="102"/>
      <c r="L1266" s="103"/>
      <c r="M1266" s="104"/>
      <c r="N1266" s="105"/>
      <c r="O1266" s="98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</row>
    <row r="1267" spans="1:27" x14ac:dyDescent="0.25">
      <c r="A1267" s="88"/>
      <c r="B1267" s="30"/>
      <c r="C1267" s="30"/>
      <c r="D1267" s="30"/>
      <c r="E1267" s="30"/>
      <c r="F1267" s="88"/>
      <c r="G1267" s="88"/>
      <c r="H1267" s="30"/>
      <c r="I1267" s="96"/>
      <c r="J1267" s="97"/>
      <c r="K1267" s="102"/>
      <c r="L1267" s="103"/>
      <c r="M1267" s="104"/>
      <c r="N1267" s="105"/>
      <c r="O1267" s="98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</row>
    <row r="1268" spans="1:27" x14ac:dyDescent="0.25">
      <c r="A1268" s="88"/>
      <c r="B1268" s="30"/>
      <c r="C1268" s="30"/>
      <c r="D1268" s="30"/>
      <c r="E1268" s="30"/>
      <c r="F1268" s="88"/>
      <c r="G1268" s="88"/>
      <c r="H1268" s="30"/>
      <c r="I1268" s="96"/>
      <c r="J1268" s="97"/>
      <c r="K1268" s="102"/>
      <c r="L1268" s="103"/>
      <c r="M1268" s="104"/>
      <c r="N1268" s="105"/>
      <c r="O1268" s="98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</row>
    <row r="1269" spans="1:27" x14ac:dyDescent="0.25">
      <c r="A1269" s="88"/>
      <c r="B1269" s="30"/>
      <c r="C1269" s="30"/>
      <c r="D1269" s="30"/>
      <c r="E1269" s="30"/>
      <c r="F1269" s="88"/>
      <c r="G1269" s="88"/>
      <c r="H1269" s="30"/>
      <c r="I1269" s="96"/>
      <c r="J1269" s="97"/>
      <c r="K1269" s="102"/>
      <c r="L1269" s="103"/>
      <c r="M1269" s="104"/>
      <c r="N1269" s="105"/>
      <c r="O1269" s="98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</row>
    <row r="1270" spans="1:27" x14ac:dyDescent="0.25">
      <c r="A1270" s="88"/>
      <c r="B1270" s="30"/>
      <c r="C1270" s="30"/>
      <c r="D1270" s="30"/>
      <c r="E1270" s="30"/>
      <c r="F1270" s="88"/>
      <c r="G1270" s="88"/>
      <c r="H1270" s="30"/>
      <c r="I1270" s="96"/>
      <c r="J1270" s="97"/>
      <c r="K1270" s="102"/>
      <c r="L1270" s="103"/>
      <c r="M1270" s="104"/>
      <c r="N1270" s="105"/>
      <c r="O1270" s="98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</row>
    <row r="1271" spans="1:27" x14ac:dyDescent="0.25">
      <c r="A1271" s="88"/>
      <c r="B1271" s="30"/>
      <c r="C1271" s="30"/>
      <c r="D1271" s="30"/>
      <c r="E1271" s="30"/>
      <c r="F1271" s="88"/>
      <c r="G1271" s="88"/>
      <c r="H1271" s="30"/>
      <c r="I1271" s="96"/>
      <c r="J1271" s="97"/>
      <c r="K1271" s="102"/>
      <c r="L1271" s="103"/>
      <c r="M1271" s="104"/>
      <c r="N1271" s="105"/>
      <c r="O1271" s="98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</row>
    <row r="1272" spans="1:27" x14ac:dyDescent="0.25">
      <c r="A1272" s="88"/>
      <c r="B1272" s="30"/>
      <c r="C1272" s="30"/>
      <c r="D1272" s="30"/>
      <c r="E1272" s="30"/>
      <c r="F1272" s="88"/>
      <c r="G1272" s="88"/>
      <c r="H1272" s="30"/>
      <c r="I1272" s="96"/>
      <c r="J1272" s="97"/>
      <c r="K1272" s="102"/>
      <c r="L1272" s="103"/>
      <c r="M1272" s="104"/>
      <c r="N1272" s="105"/>
      <c r="O1272" s="98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</row>
    <row r="1273" spans="1:27" x14ac:dyDescent="0.25">
      <c r="A1273" s="88"/>
      <c r="B1273" s="30"/>
      <c r="C1273" s="30"/>
      <c r="D1273" s="30"/>
      <c r="E1273" s="30"/>
      <c r="F1273" s="88"/>
      <c r="G1273" s="88"/>
      <c r="H1273" s="30"/>
      <c r="I1273" s="96"/>
      <c r="J1273" s="97"/>
      <c r="K1273" s="102"/>
      <c r="L1273" s="103"/>
      <c r="M1273" s="104"/>
      <c r="N1273" s="105"/>
      <c r="O1273" s="98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</row>
    <row r="1274" spans="1:27" x14ac:dyDescent="0.25">
      <c r="A1274" s="88"/>
      <c r="B1274" s="30"/>
      <c r="C1274" s="30"/>
      <c r="D1274" s="30"/>
      <c r="E1274" s="30"/>
      <c r="F1274" s="88"/>
      <c r="G1274" s="88"/>
      <c r="H1274" s="30"/>
      <c r="I1274" s="96"/>
      <c r="J1274" s="97"/>
      <c r="K1274" s="102"/>
      <c r="L1274" s="103"/>
      <c r="M1274" s="104"/>
      <c r="N1274" s="105"/>
      <c r="O1274" s="98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</row>
    <row r="1275" spans="1:27" x14ac:dyDescent="0.25">
      <c r="A1275" s="88"/>
      <c r="B1275" s="30"/>
      <c r="C1275" s="30"/>
      <c r="D1275" s="30"/>
      <c r="E1275" s="30"/>
      <c r="F1275" s="88"/>
      <c r="G1275" s="88"/>
      <c r="H1275" s="30"/>
      <c r="I1275" s="96"/>
      <c r="J1275" s="97"/>
      <c r="K1275" s="102"/>
      <c r="L1275" s="103"/>
      <c r="M1275" s="104"/>
      <c r="N1275" s="105"/>
      <c r="O1275" s="98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</row>
    <row r="1276" spans="1:27" x14ac:dyDescent="0.25">
      <c r="A1276" s="88"/>
      <c r="B1276" s="30"/>
      <c r="C1276" s="30"/>
      <c r="D1276" s="30"/>
      <c r="E1276" s="30"/>
      <c r="F1276" s="88"/>
      <c r="G1276" s="88"/>
      <c r="H1276" s="30"/>
      <c r="I1276" s="96"/>
      <c r="J1276" s="97"/>
      <c r="K1276" s="102"/>
      <c r="L1276" s="103"/>
      <c r="M1276" s="104"/>
      <c r="N1276" s="105"/>
      <c r="O1276" s="98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</row>
    <row r="1277" spans="1:27" x14ac:dyDescent="0.25">
      <c r="A1277" s="88"/>
      <c r="B1277" s="30"/>
      <c r="C1277" s="30"/>
      <c r="D1277" s="30"/>
      <c r="E1277" s="30"/>
      <c r="F1277" s="88"/>
      <c r="G1277" s="88"/>
      <c r="H1277" s="30"/>
      <c r="I1277" s="96"/>
      <c r="J1277" s="97"/>
      <c r="K1277" s="102"/>
      <c r="L1277" s="103"/>
      <c r="M1277" s="104"/>
      <c r="N1277" s="105"/>
      <c r="O1277" s="98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</row>
    <row r="1278" spans="1:27" x14ac:dyDescent="0.25">
      <c r="A1278" s="88"/>
      <c r="B1278" s="30"/>
      <c r="C1278" s="30"/>
      <c r="D1278" s="30"/>
      <c r="E1278" s="30"/>
      <c r="F1278" s="88"/>
      <c r="G1278" s="88"/>
      <c r="H1278" s="30"/>
      <c r="I1278" s="96"/>
      <c r="J1278" s="97"/>
      <c r="K1278" s="102"/>
      <c r="L1278" s="103"/>
      <c r="M1278" s="104"/>
      <c r="N1278" s="105"/>
      <c r="O1278" s="98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</row>
    <row r="1279" spans="1:27" x14ac:dyDescent="0.25">
      <c r="A1279" s="88"/>
      <c r="B1279" s="30"/>
      <c r="C1279" s="30"/>
      <c r="D1279" s="30"/>
      <c r="E1279" s="30"/>
      <c r="F1279" s="88"/>
      <c r="G1279" s="88"/>
      <c r="H1279" s="30"/>
      <c r="I1279" s="96"/>
      <c r="J1279" s="97"/>
      <c r="K1279" s="102"/>
      <c r="L1279" s="103"/>
      <c r="M1279" s="104"/>
      <c r="N1279" s="105"/>
      <c r="O1279" s="98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</row>
    <row r="1280" spans="1:27" x14ac:dyDescent="0.25">
      <c r="A1280" s="88"/>
      <c r="B1280" s="30"/>
      <c r="C1280" s="30"/>
      <c r="D1280" s="30"/>
      <c r="E1280" s="30"/>
      <c r="F1280" s="88"/>
      <c r="G1280" s="88"/>
      <c r="H1280" s="30"/>
      <c r="I1280" s="96"/>
      <c r="J1280" s="97"/>
      <c r="K1280" s="102"/>
      <c r="L1280" s="103"/>
      <c r="M1280" s="104"/>
      <c r="N1280" s="105"/>
      <c r="O1280" s="98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</row>
    <row r="1281" spans="1:27" x14ac:dyDescent="0.25">
      <c r="A1281" s="88"/>
      <c r="B1281" s="30"/>
      <c r="C1281" s="30"/>
      <c r="D1281" s="30"/>
      <c r="E1281" s="30"/>
      <c r="F1281" s="88"/>
      <c r="G1281" s="88"/>
      <c r="H1281" s="30"/>
      <c r="I1281" s="96"/>
      <c r="J1281" s="97"/>
      <c r="K1281" s="102"/>
      <c r="L1281" s="103"/>
      <c r="M1281" s="104"/>
      <c r="N1281" s="105"/>
      <c r="O1281" s="98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</row>
    <row r="1282" spans="1:27" x14ac:dyDescent="0.25">
      <c r="A1282" s="88"/>
      <c r="B1282" s="30"/>
      <c r="C1282" s="30"/>
      <c r="D1282" s="30"/>
      <c r="E1282" s="30"/>
      <c r="F1282" s="88"/>
      <c r="G1282" s="88"/>
      <c r="H1282" s="30"/>
      <c r="I1282" s="96"/>
      <c r="J1282" s="97"/>
      <c r="K1282" s="102"/>
      <c r="L1282" s="103"/>
      <c r="M1282" s="104"/>
      <c r="N1282" s="105"/>
      <c r="O1282" s="98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</row>
    <row r="1283" spans="1:27" x14ac:dyDescent="0.25">
      <c r="A1283" s="88"/>
      <c r="B1283" s="30"/>
      <c r="C1283" s="30"/>
      <c r="D1283" s="30"/>
      <c r="E1283" s="30"/>
      <c r="F1283" s="88"/>
      <c r="G1283" s="88"/>
      <c r="H1283" s="30"/>
      <c r="I1283" s="96"/>
      <c r="J1283" s="97"/>
      <c r="K1283" s="102"/>
      <c r="L1283" s="103"/>
      <c r="M1283" s="104"/>
      <c r="N1283" s="105"/>
      <c r="O1283" s="98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</row>
    <row r="1284" spans="1:27" x14ac:dyDescent="0.25">
      <c r="A1284" s="88"/>
      <c r="B1284" s="30"/>
      <c r="C1284" s="30"/>
      <c r="D1284" s="30"/>
      <c r="E1284" s="30"/>
      <c r="F1284" s="88"/>
      <c r="G1284" s="88"/>
      <c r="H1284" s="30"/>
      <c r="I1284" s="96"/>
      <c r="J1284" s="97"/>
      <c r="K1284" s="102"/>
      <c r="L1284" s="103"/>
      <c r="M1284" s="104"/>
      <c r="N1284" s="105"/>
      <c r="O1284" s="98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</row>
    <row r="1285" spans="1:27" x14ac:dyDescent="0.25">
      <c r="A1285" s="88"/>
      <c r="B1285" s="30"/>
      <c r="C1285" s="30"/>
      <c r="D1285" s="30"/>
      <c r="E1285" s="30"/>
      <c r="F1285" s="88"/>
      <c r="G1285" s="88"/>
      <c r="H1285" s="30"/>
      <c r="I1285" s="96"/>
      <c r="J1285" s="97"/>
      <c r="K1285" s="102"/>
      <c r="L1285" s="103"/>
      <c r="M1285" s="104"/>
      <c r="N1285" s="105"/>
      <c r="O1285" s="98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</row>
    <row r="1286" spans="1:27" x14ac:dyDescent="0.25">
      <c r="A1286" s="88"/>
      <c r="B1286" s="30"/>
      <c r="C1286" s="30"/>
      <c r="D1286" s="30"/>
      <c r="E1286" s="30"/>
      <c r="F1286" s="88"/>
      <c r="G1286" s="88"/>
      <c r="H1286" s="30"/>
      <c r="I1286" s="96"/>
      <c r="J1286" s="97"/>
      <c r="K1286" s="102"/>
      <c r="L1286" s="103"/>
      <c r="M1286" s="104"/>
      <c r="N1286" s="105"/>
      <c r="O1286" s="98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</row>
    <row r="1287" spans="1:27" x14ac:dyDescent="0.25">
      <c r="A1287" s="88"/>
      <c r="B1287" s="30"/>
      <c r="C1287" s="30"/>
      <c r="D1287" s="30"/>
      <c r="E1287" s="30"/>
      <c r="F1287" s="88"/>
      <c r="G1287" s="88"/>
      <c r="H1287" s="30"/>
      <c r="I1287" s="96"/>
      <c r="J1287" s="97"/>
      <c r="K1287" s="102"/>
      <c r="L1287" s="103"/>
      <c r="M1287" s="104"/>
      <c r="N1287" s="105"/>
      <c r="O1287" s="98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</row>
    <row r="1288" spans="1:27" x14ac:dyDescent="0.25">
      <c r="A1288" s="88"/>
      <c r="B1288" s="30"/>
      <c r="C1288" s="30"/>
      <c r="D1288" s="30"/>
      <c r="E1288" s="30"/>
      <c r="F1288" s="88"/>
      <c r="G1288" s="88"/>
      <c r="H1288" s="30"/>
      <c r="I1288" s="96"/>
      <c r="J1288" s="97"/>
      <c r="K1288" s="102"/>
      <c r="L1288" s="103"/>
      <c r="M1288" s="104"/>
      <c r="N1288" s="105"/>
      <c r="O1288" s="98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</row>
    <row r="1289" spans="1:27" x14ac:dyDescent="0.25">
      <c r="A1289" s="88"/>
      <c r="B1289" s="30"/>
      <c r="C1289" s="30"/>
      <c r="D1289" s="30"/>
      <c r="E1289" s="30"/>
      <c r="F1289" s="88"/>
      <c r="G1289" s="88"/>
      <c r="H1289" s="30"/>
      <c r="I1289" s="96"/>
      <c r="J1289" s="97"/>
      <c r="K1289" s="102"/>
      <c r="L1289" s="103"/>
      <c r="M1289" s="104"/>
      <c r="N1289" s="105"/>
      <c r="O1289" s="98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</row>
    <row r="1290" spans="1:27" x14ac:dyDescent="0.25">
      <c r="A1290" s="88"/>
      <c r="B1290" s="30"/>
      <c r="C1290" s="30"/>
      <c r="D1290" s="30"/>
      <c r="E1290" s="30"/>
      <c r="F1290" s="88"/>
      <c r="G1290" s="88"/>
      <c r="H1290" s="30"/>
      <c r="I1290" s="96"/>
      <c r="J1290" s="97"/>
      <c r="K1290" s="102"/>
      <c r="L1290" s="103"/>
      <c r="M1290" s="104"/>
      <c r="N1290" s="105"/>
      <c r="O1290" s="98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</row>
    <row r="1291" spans="1:27" x14ac:dyDescent="0.25">
      <c r="A1291" s="88"/>
      <c r="B1291" s="30"/>
      <c r="C1291" s="30"/>
      <c r="D1291" s="30"/>
      <c r="E1291" s="30"/>
      <c r="F1291" s="88"/>
      <c r="G1291" s="88"/>
      <c r="H1291" s="30"/>
      <c r="I1291" s="96"/>
      <c r="J1291" s="97"/>
      <c r="K1291" s="102"/>
      <c r="L1291" s="103"/>
      <c r="M1291" s="104"/>
      <c r="N1291" s="105"/>
      <c r="O1291" s="98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</row>
    <row r="1292" spans="1:27" x14ac:dyDescent="0.25">
      <c r="A1292" s="88"/>
      <c r="B1292" s="30"/>
      <c r="C1292" s="30"/>
      <c r="D1292" s="30"/>
      <c r="E1292" s="30"/>
      <c r="F1292" s="88"/>
      <c r="G1292" s="88"/>
      <c r="H1292" s="30"/>
      <c r="I1292" s="96"/>
      <c r="J1292" s="97"/>
      <c r="K1292" s="102"/>
      <c r="L1292" s="103"/>
      <c r="M1292" s="104"/>
      <c r="N1292" s="105"/>
      <c r="O1292" s="98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</row>
    <row r="1293" spans="1:27" x14ac:dyDescent="0.25">
      <c r="A1293" s="88"/>
      <c r="B1293" s="30"/>
      <c r="C1293" s="30"/>
      <c r="D1293" s="30"/>
      <c r="E1293" s="30"/>
      <c r="F1293" s="88"/>
      <c r="G1293" s="88"/>
      <c r="H1293" s="30"/>
      <c r="I1293" s="96"/>
      <c r="J1293" s="97"/>
      <c r="K1293" s="102"/>
      <c r="L1293" s="103"/>
      <c r="M1293" s="104"/>
      <c r="N1293" s="105"/>
      <c r="O1293" s="98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</row>
    <row r="1294" spans="1:27" x14ac:dyDescent="0.25">
      <c r="A1294" s="88"/>
      <c r="B1294" s="30"/>
      <c r="C1294" s="30"/>
      <c r="D1294" s="30"/>
      <c r="E1294" s="30"/>
      <c r="F1294" s="88"/>
      <c r="G1294" s="88"/>
      <c r="H1294" s="30"/>
      <c r="I1294" s="96"/>
      <c r="J1294" s="97"/>
      <c r="K1294" s="102"/>
      <c r="L1294" s="103"/>
      <c r="M1294" s="104"/>
      <c r="N1294" s="105"/>
      <c r="O1294" s="98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</row>
    <row r="1295" spans="1:27" x14ac:dyDescent="0.25">
      <c r="A1295" s="88"/>
      <c r="B1295" s="30"/>
      <c r="C1295" s="30"/>
      <c r="D1295" s="30"/>
      <c r="E1295" s="30"/>
      <c r="F1295" s="88"/>
      <c r="G1295" s="88"/>
      <c r="H1295" s="30"/>
      <c r="I1295" s="96"/>
      <c r="J1295" s="97"/>
      <c r="K1295" s="102"/>
      <c r="L1295" s="103"/>
      <c r="M1295" s="104"/>
      <c r="N1295" s="105"/>
      <c r="O1295" s="98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</row>
    <row r="1296" spans="1:27" x14ac:dyDescent="0.25">
      <c r="A1296" s="88"/>
      <c r="B1296" s="30"/>
      <c r="C1296" s="30"/>
      <c r="D1296" s="30"/>
      <c r="E1296" s="30"/>
      <c r="F1296" s="88"/>
      <c r="G1296" s="88"/>
      <c r="H1296" s="30"/>
      <c r="I1296" s="96"/>
      <c r="J1296" s="97"/>
      <c r="K1296" s="102"/>
      <c r="L1296" s="103"/>
      <c r="M1296" s="104"/>
      <c r="N1296" s="105"/>
      <c r="O1296" s="98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</row>
    <row r="1297" spans="1:27" x14ac:dyDescent="0.25">
      <c r="A1297" s="88"/>
      <c r="B1297" s="30"/>
      <c r="C1297" s="30"/>
      <c r="D1297" s="30"/>
      <c r="E1297" s="30"/>
      <c r="F1297" s="88"/>
      <c r="G1297" s="88"/>
      <c r="H1297" s="30"/>
      <c r="I1297" s="96"/>
      <c r="J1297" s="97"/>
      <c r="K1297" s="102"/>
      <c r="L1297" s="103"/>
      <c r="M1297" s="104"/>
      <c r="N1297" s="105"/>
      <c r="O1297" s="98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</row>
    <row r="1298" spans="1:27" x14ac:dyDescent="0.25">
      <c r="A1298" s="88"/>
      <c r="B1298" s="30"/>
      <c r="C1298" s="30"/>
      <c r="D1298" s="30"/>
      <c r="E1298" s="30"/>
      <c r="F1298" s="88"/>
      <c r="G1298" s="88"/>
      <c r="H1298" s="30"/>
      <c r="I1298" s="96"/>
      <c r="J1298" s="97"/>
      <c r="K1298" s="102"/>
      <c r="L1298" s="103"/>
      <c r="M1298" s="104"/>
      <c r="N1298" s="105"/>
      <c r="O1298" s="98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</row>
    <row r="1299" spans="1:27" x14ac:dyDescent="0.25">
      <c r="A1299" s="88"/>
      <c r="B1299" s="30"/>
      <c r="C1299" s="30"/>
      <c r="D1299" s="30"/>
      <c r="E1299" s="30"/>
      <c r="F1299" s="88"/>
      <c r="G1299" s="88"/>
      <c r="H1299" s="30"/>
      <c r="I1299" s="96"/>
      <c r="J1299" s="97"/>
      <c r="K1299" s="102"/>
      <c r="L1299" s="103"/>
      <c r="M1299" s="104"/>
      <c r="N1299" s="105"/>
      <c r="O1299" s="98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</row>
    <row r="1300" spans="1:27" x14ac:dyDescent="0.25">
      <c r="A1300" s="88"/>
      <c r="B1300" s="30"/>
      <c r="C1300" s="30"/>
      <c r="D1300" s="30"/>
      <c r="E1300" s="30"/>
      <c r="F1300" s="88"/>
      <c r="G1300" s="88"/>
      <c r="H1300" s="30"/>
      <c r="I1300" s="96"/>
      <c r="J1300" s="97"/>
      <c r="K1300" s="102"/>
      <c r="L1300" s="103"/>
      <c r="M1300" s="104"/>
      <c r="N1300" s="105"/>
      <c r="O1300" s="98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</row>
    <row r="1301" spans="1:27" x14ac:dyDescent="0.25">
      <c r="A1301" s="88"/>
      <c r="B1301" s="30"/>
      <c r="C1301" s="30"/>
      <c r="D1301" s="30"/>
      <c r="E1301" s="30"/>
      <c r="F1301" s="88"/>
      <c r="G1301" s="88"/>
      <c r="H1301" s="30"/>
      <c r="I1301" s="96"/>
      <c r="J1301" s="97"/>
      <c r="K1301" s="102"/>
      <c r="L1301" s="103"/>
      <c r="M1301" s="104"/>
      <c r="N1301" s="105"/>
      <c r="O1301" s="98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</row>
    <row r="1302" spans="1:27" x14ac:dyDescent="0.25">
      <c r="A1302" s="88"/>
      <c r="B1302" s="30"/>
      <c r="C1302" s="30"/>
      <c r="D1302" s="30"/>
      <c r="E1302" s="30"/>
      <c r="F1302" s="88"/>
      <c r="G1302" s="88"/>
      <c r="H1302" s="30"/>
      <c r="I1302" s="96"/>
      <c r="J1302" s="97"/>
      <c r="K1302" s="102"/>
      <c r="L1302" s="103"/>
      <c r="M1302" s="104"/>
      <c r="N1302" s="105"/>
      <c r="O1302" s="98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</row>
    <row r="1303" spans="1:27" x14ac:dyDescent="0.25">
      <c r="A1303" s="88"/>
      <c r="B1303" s="30"/>
      <c r="C1303" s="30"/>
      <c r="D1303" s="30"/>
      <c r="E1303" s="30"/>
      <c r="F1303" s="88"/>
      <c r="G1303" s="88"/>
      <c r="H1303" s="30"/>
      <c r="I1303" s="96"/>
      <c r="J1303" s="97"/>
      <c r="K1303" s="102"/>
      <c r="L1303" s="103"/>
      <c r="M1303" s="104"/>
      <c r="N1303" s="105"/>
      <c r="O1303" s="98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</row>
    <row r="1304" spans="1:27" x14ac:dyDescent="0.25">
      <c r="A1304" s="88"/>
      <c r="B1304" s="30"/>
      <c r="C1304" s="30"/>
      <c r="D1304" s="30"/>
      <c r="E1304" s="30"/>
      <c r="F1304" s="88"/>
      <c r="G1304" s="88"/>
      <c r="H1304" s="30"/>
      <c r="I1304" s="96"/>
      <c r="J1304" s="97"/>
      <c r="K1304" s="102"/>
      <c r="L1304" s="103"/>
      <c r="M1304" s="104"/>
      <c r="N1304" s="105"/>
      <c r="O1304" s="98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</row>
    <row r="1305" spans="1:27" x14ac:dyDescent="0.25">
      <c r="A1305" s="88"/>
      <c r="B1305" s="30"/>
      <c r="C1305" s="30"/>
      <c r="D1305" s="30"/>
      <c r="E1305" s="30"/>
      <c r="F1305" s="88"/>
      <c r="G1305" s="88"/>
      <c r="H1305" s="30"/>
      <c r="I1305" s="96"/>
      <c r="J1305" s="97"/>
      <c r="K1305" s="102"/>
      <c r="L1305" s="103"/>
      <c r="M1305" s="104"/>
      <c r="N1305" s="105"/>
      <c r="O1305" s="98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</row>
    <row r="1306" spans="1:27" x14ac:dyDescent="0.25">
      <c r="A1306" s="88"/>
      <c r="B1306" s="30"/>
      <c r="C1306" s="30"/>
      <c r="D1306" s="30"/>
      <c r="E1306" s="30"/>
      <c r="F1306" s="88"/>
      <c r="G1306" s="88"/>
      <c r="H1306" s="30"/>
      <c r="I1306" s="96"/>
      <c r="J1306" s="97"/>
      <c r="K1306" s="102"/>
      <c r="L1306" s="103"/>
      <c r="M1306" s="104"/>
      <c r="N1306" s="105"/>
      <c r="O1306" s="98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</row>
    <row r="1307" spans="1:27" x14ac:dyDescent="0.25">
      <c r="A1307" s="88"/>
      <c r="B1307" s="30"/>
      <c r="C1307" s="30"/>
      <c r="D1307" s="30"/>
      <c r="E1307" s="30"/>
      <c r="F1307" s="88"/>
      <c r="G1307" s="88"/>
      <c r="H1307" s="30"/>
      <c r="I1307" s="96"/>
      <c r="J1307" s="97"/>
      <c r="K1307" s="102"/>
      <c r="L1307" s="103"/>
      <c r="M1307" s="104"/>
      <c r="N1307" s="105"/>
      <c r="O1307" s="98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</row>
    <row r="1308" spans="1:27" x14ac:dyDescent="0.25">
      <c r="A1308" s="88"/>
      <c r="B1308" s="30"/>
      <c r="C1308" s="30"/>
      <c r="D1308" s="30"/>
      <c r="E1308" s="30"/>
      <c r="F1308" s="88"/>
      <c r="G1308" s="88"/>
      <c r="H1308" s="30"/>
      <c r="I1308" s="96"/>
      <c r="J1308" s="97"/>
      <c r="K1308" s="102"/>
      <c r="L1308" s="103"/>
      <c r="M1308" s="104"/>
      <c r="N1308" s="105"/>
      <c r="O1308" s="98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</row>
    <row r="1309" spans="1:27" x14ac:dyDescent="0.25">
      <c r="A1309" s="88"/>
      <c r="B1309" s="30"/>
      <c r="C1309" s="30"/>
      <c r="D1309" s="30"/>
      <c r="E1309" s="30"/>
      <c r="F1309" s="88"/>
      <c r="G1309" s="88"/>
      <c r="H1309" s="30"/>
      <c r="I1309" s="96"/>
      <c r="J1309" s="97"/>
      <c r="K1309" s="102"/>
      <c r="L1309" s="103"/>
      <c r="M1309" s="104"/>
      <c r="N1309" s="105"/>
      <c r="O1309" s="98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</row>
    <row r="1310" spans="1:27" x14ac:dyDescent="0.25">
      <c r="A1310" s="88"/>
      <c r="B1310" s="30"/>
      <c r="C1310" s="30"/>
      <c r="D1310" s="30"/>
      <c r="E1310" s="30"/>
      <c r="F1310" s="88"/>
      <c r="G1310" s="88"/>
      <c r="H1310" s="30"/>
      <c r="I1310" s="96"/>
      <c r="J1310" s="97"/>
      <c r="K1310" s="102"/>
      <c r="L1310" s="103"/>
      <c r="M1310" s="104"/>
      <c r="N1310" s="105"/>
      <c r="O1310" s="98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</row>
    <row r="1311" spans="1:27" x14ac:dyDescent="0.25">
      <c r="A1311" s="88"/>
      <c r="B1311" s="30"/>
      <c r="C1311" s="30"/>
      <c r="D1311" s="30"/>
      <c r="E1311" s="30"/>
      <c r="F1311" s="88"/>
      <c r="G1311" s="88"/>
      <c r="H1311" s="30"/>
      <c r="I1311" s="96"/>
      <c r="J1311" s="97"/>
      <c r="K1311" s="102"/>
      <c r="L1311" s="103"/>
      <c r="M1311" s="104"/>
      <c r="N1311" s="105"/>
      <c r="O1311" s="98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</row>
    <row r="1312" spans="1:27" x14ac:dyDescent="0.25">
      <c r="A1312" s="88"/>
      <c r="B1312" s="30"/>
      <c r="C1312" s="30"/>
      <c r="D1312" s="30"/>
      <c r="E1312" s="30"/>
      <c r="F1312" s="88"/>
      <c r="G1312" s="88"/>
      <c r="H1312" s="30"/>
      <c r="I1312" s="96"/>
      <c r="J1312" s="97"/>
      <c r="K1312" s="102"/>
      <c r="L1312" s="103"/>
      <c r="M1312" s="104"/>
      <c r="N1312" s="105"/>
      <c r="O1312" s="98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</row>
    <row r="1313" spans="1:27" x14ac:dyDescent="0.25">
      <c r="A1313" s="88"/>
      <c r="B1313" s="30"/>
      <c r="C1313" s="30"/>
      <c r="D1313" s="30"/>
      <c r="E1313" s="30"/>
      <c r="F1313" s="88"/>
      <c r="G1313" s="88"/>
      <c r="H1313" s="30"/>
      <c r="I1313" s="96"/>
      <c r="J1313" s="97"/>
      <c r="K1313" s="102"/>
      <c r="L1313" s="103"/>
      <c r="M1313" s="104"/>
      <c r="N1313" s="105"/>
      <c r="O1313" s="98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</row>
    <row r="1314" spans="1:27" x14ac:dyDescent="0.25">
      <c r="A1314" s="88"/>
      <c r="B1314" s="30"/>
      <c r="C1314" s="30"/>
      <c r="D1314" s="30"/>
      <c r="E1314" s="30"/>
      <c r="F1314" s="88"/>
      <c r="G1314" s="88"/>
      <c r="H1314" s="30"/>
      <c r="I1314" s="96"/>
      <c r="J1314" s="97"/>
      <c r="K1314" s="102"/>
      <c r="L1314" s="103"/>
      <c r="M1314" s="104"/>
      <c r="N1314" s="105"/>
      <c r="O1314" s="98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</row>
    <row r="1315" spans="1:27" x14ac:dyDescent="0.25">
      <c r="A1315" s="88"/>
      <c r="B1315" s="30"/>
      <c r="C1315" s="30"/>
      <c r="D1315" s="30"/>
      <c r="E1315" s="30"/>
      <c r="F1315" s="88"/>
      <c r="G1315" s="88"/>
      <c r="H1315" s="30"/>
      <c r="I1315" s="96"/>
      <c r="J1315" s="97"/>
      <c r="K1315" s="102"/>
      <c r="L1315" s="103"/>
      <c r="M1315" s="104"/>
      <c r="N1315" s="105"/>
      <c r="O1315" s="98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</row>
    <row r="1316" spans="1:27" x14ac:dyDescent="0.25">
      <c r="A1316" s="88"/>
      <c r="B1316" s="30"/>
      <c r="C1316" s="30"/>
      <c r="D1316" s="30"/>
      <c r="E1316" s="30"/>
      <c r="F1316" s="88"/>
      <c r="G1316" s="88"/>
      <c r="H1316" s="30"/>
      <c r="I1316" s="96"/>
      <c r="J1316" s="97"/>
      <c r="K1316" s="102"/>
      <c r="L1316" s="103"/>
      <c r="M1316" s="104"/>
      <c r="N1316" s="105"/>
      <c r="O1316" s="98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</row>
    <row r="1317" spans="1:27" x14ac:dyDescent="0.25">
      <c r="A1317" s="88"/>
      <c r="B1317" s="30"/>
      <c r="C1317" s="30"/>
      <c r="D1317" s="30"/>
      <c r="E1317" s="30"/>
      <c r="F1317" s="88"/>
      <c r="G1317" s="88"/>
      <c r="H1317" s="30"/>
      <c r="I1317" s="96"/>
      <c r="J1317" s="97"/>
      <c r="K1317" s="102"/>
      <c r="L1317" s="103"/>
      <c r="M1317" s="104"/>
      <c r="N1317" s="105"/>
      <c r="O1317" s="98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</row>
    <row r="1318" spans="1:27" x14ac:dyDescent="0.25">
      <c r="A1318" s="88"/>
      <c r="B1318" s="30"/>
      <c r="C1318" s="30"/>
      <c r="D1318" s="30"/>
      <c r="E1318" s="30"/>
      <c r="F1318" s="88"/>
      <c r="G1318" s="88"/>
      <c r="H1318" s="30"/>
      <c r="I1318" s="96"/>
      <c r="J1318" s="97"/>
      <c r="K1318" s="102"/>
      <c r="L1318" s="103"/>
      <c r="M1318" s="104"/>
      <c r="N1318" s="105"/>
      <c r="O1318" s="98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</row>
    <row r="1319" spans="1:27" x14ac:dyDescent="0.25">
      <c r="A1319" s="88"/>
      <c r="B1319" s="30"/>
      <c r="C1319" s="30"/>
      <c r="D1319" s="30"/>
      <c r="E1319" s="30"/>
      <c r="F1319" s="88"/>
      <c r="G1319" s="88"/>
      <c r="H1319" s="30"/>
      <c r="I1319" s="96"/>
      <c r="J1319" s="97"/>
      <c r="K1319" s="102"/>
      <c r="L1319" s="103"/>
      <c r="M1319" s="104"/>
      <c r="N1319" s="105"/>
      <c r="O1319" s="98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</row>
    <row r="1320" spans="1:27" x14ac:dyDescent="0.25">
      <c r="A1320" s="88"/>
      <c r="B1320" s="30"/>
      <c r="C1320" s="30"/>
      <c r="D1320" s="30"/>
      <c r="E1320" s="30"/>
      <c r="F1320" s="88"/>
      <c r="G1320" s="88"/>
      <c r="H1320" s="30"/>
      <c r="I1320" s="96"/>
      <c r="J1320" s="97"/>
      <c r="K1320" s="102"/>
      <c r="L1320" s="103"/>
      <c r="M1320" s="104"/>
      <c r="N1320" s="105"/>
      <c r="O1320" s="98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</row>
    <row r="1321" spans="1:27" x14ac:dyDescent="0.25">
      <c r="A1321" s="88"/>
      <c r="B1321" s="30"/>
      <c r="C1321" s="30"/>
      <c r="D1321" s="30"/>
      <c r="E1321" s="30"/>
      <c r="F1321" s="88"/>
      <c r="G1321" s="88"/>
      <c r="H1321" s="30"/>
      <c r="I1321" s="96"/>
      <c r="J1321" s="97"/>
      <c r="K1321" s="102"/>
      <c r="L1321" s="103"/>
      <c r="M1321" s="104"/>
      <c r="N1321" s="105"/>
      <c r="O1321" s="98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</row>
    <row r="1322" spans="1:27" x14ac:dyDescent="0.25">
      <c r="A1322" s="88"/>
      <c r="B1322" s="30"/>
      <c r="C1322" s="30"/>
      <c r="D1322" s="30"/>
      <c r="E1322" s="30"/>
      <c r="F1322" s="88"/>
      <c r="G1322" s="88"/>
      <c r="H1322" s="30"/>
      <c r="I1322" s="96"/>
      <c r="J1322" s="97"/>
      <c r="K1322" s="102"/>
      <c r="L1322" s="103"/>
      <c r="M1322" s="104"/>
      <c r="N1322" s="105"/>
      <c r="O1322" s="98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</row>
    <row r="1323" spans="1:27" x14ac:dyDescent="0.25">
      <c r="A1323" s="88"/>
      <c r="B1323" s="30"/>
      <c r="C1323" s="30"/>
      <c r="D1323" s="30"/>
      <c r="E1323" s="30"/>
      <c r="F1323" s="88"/>
      <c r="G1323" s="88"/>
      <c r="H1323" s="30"/>
      <c r="I1323" s="96"/>
      <c r="J1323" s="97"/>
      <c r="K1323" s="102"/>
      <c r="L1323" s="103"/>
      <c r="M1323" s="104"/>
      <c r="N1323" s="105"/>
      <c r="O1323" s="98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</row>
    <row r="1324" spans="1:27" x14ac:dyDescent="0.25">
      <c r="A1324" s="88"/>
      <c r="B1324" s="30"/>
      <c r="C1324" s="30"/>
      <c r="D1324" s="30"/>
      <c r="E1324" s="30"/>
      <c r="F1324" s="88"/>
      <c r="G1324" s="88"/>
      <c r="H1324" s="30"/>
      <c r="I1324" s="96"/>
      <c r="J1324" s="97"/>
      <c r="K1324" s="102"/>
      <c r="L1324" s="103"/>
      <c r="M1324" s="104"/>
      <c r="N1324" s="105"/>
      <c r="O1324" s="98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</row>
    <row r="1325" spans="1:27" x14ac:dyDescent="0.25">
      <c r="A1325" s="88"/>
      <c r="B1325" s="30"/>
      <c r="C1325" s="30"/>
      <c r="D1325" s="30"/>
      <c r="E1325" s="30"/>
      <c r="F1325" s="88"/>
      <c r="G1325" s="88"/>
      <c r="H1325" s="30"/>
      <c r="I1325" s="96"/>
      <c r="J1325" s="97"/>
      <c r="K1325" s="102"/>
      <c r="L1325" s="103"/>
      <c r="M1325" s="104"/>
      <c r="N1325" s="105"/>
      <c r="O1325" s="98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</row>
    <row r="1326" spans="1:27" x14ac:dyDescent="0.25">
      <c r="A1326" s="88"/>
      <c r="B1326" s="30"/>
      <c r="C1326" s="30"/>
      <c r="D1326" s="30"/>
      <c r="E1326" s="30"/>
      <c r="F1326" s="88"/>
      <c r="G1326" s="88"/>
      <c r="H1326" s="30"/>
      <c r="I1326" s="96"/>
      <c r="J1326" s="97"/>
      <c r="K1326" s="102"/>
      <c r="L1326" s="103"/>
      <c r="M1326" s="104"/>
      <c r="N1326" s="105"/>
      <c r="O1326" s="98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</row>
    <row r="1327" spans="1:27" x14ac:dyDescent="0.25">
      <c r="A1327" s="88"/>
      <c r="B1327" s="30"/>
      <c r="C1327" s="30"/>
      <c r="D1327" s="30"/>
      <c r="E1327" s="30"/>
      <c r="F1327" s="88"/>
      <c r="G1327" s="88"/>
      <c r="H1327" s="30"/>
      <c r="I1327" s="96"/>
      <c r="J1327" s="97"/>
      <c r="K1327" s="102"/>
      <c r="L1327" s="103"/>
      <c r="M1327" s="104"/>
      <c r="N1327" s="105"/>
      <c r="O1327" s="98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</row>
    <row r="1328" spans="1:27" x14ac:dyDescent="0.25">
      <c r="A1328" s="88"/>
      <c r="B1328" s="30"/>
      <c r="C1328" s="30"/>
      <c r="D1328" s="30"/>
      <c r="E1328" s="30"/>
      <c r="F1328" s="88"/>
      <c r="G1328" s="88"/>
      <c r="H1328" s="30"/>
      <c r="I1328" s="96"/>
      <c r="J1328" s="97"/>
      <c r="K1328" s="102"/>
      <c r="L1328" s="103"/>
      <c r="M1328" s="104"/>
      <c r="N1328" s="105"/>
      <c r="O1328" s="98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</row>
    <row r="1329" spans="1:27" x14ac:dyDescent="0.25">
      <c r="A1329" s="88"/>
      <c r="B1329" s="30"/>
      <c r="C1329" s="30"/>
      <c r="D1329" s="30"/>
      <c r="E1329" s="30"/>
      <c r="F1329" s="88"/>
      <c r="G1329" s="88"/>
      <c r="H1329" s="30"/>
      <c r="I1329" s="96"/>
      <c r="J1329" s="97"/>
      <c r="K1329" s="102"/>
      <c r="L1329" s="103"/>
      <c r="M1329" s="104"/>
      <c r="N1329" s="105"/>
      <c r="O1329" s="98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</row>
    <row r="1330" spans="1:27" x14ac:dyDescent="0.25">
      <c r="A1330" s="88"/>
      <c r="B1330" s="30"/>
      <c r="C1330" s="30"/>
      <c r="D1330" s="30"/>
      <c r="E1330" s="30"/>
      <c r="F1330" s="88"/>
      <c r="G1330" s="88"/>
      <c r="H1330" s="30"/>
      <c r="I1330" s="96"/>
      <c r="J1330" s="97"/>
      <c r="K1330" s="102"/>
      <c r="L1330" s="103"/>
      <c r="M1330" s="104"/>
      <c r="N1330" s="105"/>
      <c r="O1330" s="98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</row>
    <row r="1331" spans="1:27" x14ac:dyDescent="0.25">
      <c r="A1331" s="88"/>
      <c r="B1331" s="30"/>
      <c r="C1331" s="30"/>
      <c r="D1331" s="30"/>
      <c r="E1331" s="30"/>
      <c r="F1331" s="88"/>
      <c r="G1331" s="88"/>
      <c r="H1331" s="30"/>
      <c r="I1331" s="96"/>
      <c r="J1331" s="97"/>
      <c r="K1331" s="102"/>
      <c r="L1331" s="103"/>
      <c r="M1331" s="104"/>
      <c r="N1331" s="105"/>
      <c r="O1331" s="98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</row>
    <row r="1332" spans="1:27" x14ac:dyDescent="0.25">
      <c r="A1332" s="88"/>
      <c r="B1332" s="30"/>
      <c r="C1332" s="30"/>
      <c r="D1332" s="30"/>
      <c r="E1332" s="30"/>
      <c r="F1332" s="88"/>
      <c r="G1332" s="88"/>
      <c r="H1332" s="30"/>
      <c r="I1332" s="96"/>
      <c r="J1332" s="97"/>
      <c r="K1332" s="102"/>
      <c r="L1332" s="103"/>
      <c r="M1332" s="104"/>
      <c r="N1332" s="105"/>
      <c r="O1332" s="98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</row>
    <row r="1333" spans="1:27" x14ac:dyDescent="0.25">
      <c r="A1333" s="88"/>
      <c r="B1333" s="30"/>
      <c r="C1333" s="30"/>
      <c r="D1333" s="30"/>
      <c r="E1333" s="30"/>
      <c r="F1333" s="88"/>
      <c r="G1333" s="88"/>
      <c r="H1333" s="30"/>
      <c r="I1333" s="96"/>
      <c r="J1333" s="97"/>
      <c r="K1333" s="102"/>
      <c r="L1333" s="103"/>
      <c r="M1333" s="104"/>
      <c r="N1333" s="105"/>
      <c r="O1333" s="98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</row>
    <row r="1334" spans="1:27" x14ac:dyDescent="0.25">
      <c r="A1334" s="88"/>
      <c r="B1334" s="30"/>
      <c r="C1334" s="30"/>
      <c r="D1334" s="30"/>
      <c r="E1334" s="30"/>
      <c r="F1334" s="88"/>
      <c r="G1334" s="88"/>
      <c r="H1334" s="30"/>
      <c r="I1334" s="96"/>
      <c r="J1334" s="97"/>
      <c r="K1334" s="102"/>
      <c r="L1334" s="103"/>
      <c r="M1334" s="104"/>
      <c r="N1334" s="105"/>
      <c r="O1334" s="98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</row>
    <row r="1335" spans="1:27" x14ac:dyDescent="0.25">
      <c r="A1335" s="88"/>
      <c r="B1335" s="30"/>
      <c r="C1335" s="30"/>
      <c r="D1335" s="30"/>
      <c r="E1335" s="30"/>
      <c r="F1335" s="88"/>
      <c r="G1335" s="88"/>
      <c r="H1335" s="30"/>
      <c r="I1335" s="96"/>
      <c r="J1335" s="97"/>
      <c r="K1335" s="102"/>
      <c r="L1335" s="103"/>
      <c r="M1335" s="104"/>
      <c r="N1335" s="105"/>
      <c r="O1335" s="98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</row>
    <row r="1336" spans="1:27" x14ac:dyDescent="0.25">
      <c r="A1336" s="88"/>
      <c r="B1336" s="30"/>
      <c r="C1336" s="30"/>
      <c r="D1336" s="30"/>
      <c r="E1336" s="30"/>
      <c r="F1336" s="88"/>
      <c r="G1336" s="88"/>
      <c r="H1336" s="30"/>
      <c r="I1336" s="96"/>
      <c r="J1336" s="97"/>
      <c r="K1336" s="102"/>
      <c r="L1336" s="103"/>
      <c r="M1336" s="104"/>
      <c r="N1336" s="105"/>
      <c r="O1336" s="98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</row>
    <row r="1337" spans="1:27" x14ac:dyDescent="0.25">
      <c r="A1337" s="88"/>
      <c r="B1337" s="30"/>
      <c r="C1337" s="30"/>
      <c r="D1337" s="30"/>
      <c r="E1337" s="30"/>
      <c r="F1337" s="88"/>
      <c r="G1337" s="88"/>
      <c r="H1337" s="30"/>
      <c r="I1337" s="96"/>
      <c r="J1337" s="97"/>
      <c r="K1337" s="102"/>
      <c r="L1337" s="103"/>
      <c r="M1337" s="104"/>
      <c r="N1337" s="105"/>
      <c r="O1337" s="98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</row>
    <row r="1338" spans="1:27" x14ac:dyDescent="0.25">
      <c r="A1338" s="88"/>
      <c r="B1338" s="30"/>
      <c r="C1338" s="30"/>
      <c r="D1338" s="30"/>
      <c r="E1338" s="30"/>
      <c r="F1338" s="88"/>
      <c r="G1338" s="88"/>
      <c r="H1338" s="30"/>
      <c r="I1338" s="96"/>
      <c r="J1338" s="97"/>
      <c r="K1338" s="102"/>
      <c r="L1338" s="103"/>
      <c r="M1338" s="104"/>
      <c r="N1338" s="105"/>
      <c r="O1338" s="98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</row>
    <row r="1339" spans="1:27" x14ac:dyDescent="0.25">
      <c r="A1339" s="88"/>
      <c r="B1339" s="30"/>
      <c r="C1339" s="30"/>
      <c r="D1339" s="30"/>
      <c r="E1339" s="30"/>
      <c r="F1339" s="88"/>
      <c r="G1339" s="88"/>
      <c r="H1339" s="30"/>
      <c r="I1339" s="96"/>
      <c r="J1339" s="97"/>
      <c r="K1339" s="102"/>
      <c r="L1339" s="103"/>
      <c r="M1339" s="104"/>
      <c r="N1339" s="105"/>
      <c r="O1339" s="98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</row>
    <row r="1340" spans="1:27" x14ac:dyDescent="0.25">
      <c r="A1340" s="88"/>
      <c r="B1340" s="30"/>
      <c r="C1340" s="30"/>
      <c r="D1340" s="30"/>
      <c r="E1340" s="30"/>
      <c r="F1340" s="88"/>
      <c r="G1340" s="88"/>
      <c r="H1340" s="30"/>
      <c r="I1340" s="96"/>
      <c r="J1340" s="97"/>
      <c r="K1340" s="102"/>
      <c r="L1340" s="103"/>
      <c r="M1340" s="104"/>
      <c r="N1340" s="105"/>
      <c r="O1340" s="98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</row>
    <row r="1341" spans="1:27" x14ac:dyDescent="0.25">
      <c r="A1341" s="88"/>
      <c r="B1341" s="30"/>
      <c r="C1341" s="30"/>
      <c r="D1341" s="30"/>
      <c r="E1341" s="30"/>
      <c r="F1341" s="88"/>
      <c r="G1341" s="88"/>
      <c r="H1341" s="30"/>
      <c r="I1341" s="96"/>
      <c r="J1341" s="97"/>
      <c r="K1341" s="102"/>
      <c r="L1341" s="103"/>
      <c r="M1341" s="104"/>
      <c r="N1341" s="105"/>
      <c r="O1341" s="98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</row>
    <row r="1342" spans="1:27" x14ac:dyDescent="0.25">
      <c r="A1342" s="88"/>
      <c r="B1342" s="30"/>
      <c r="C1342" s="30"/>
      <c r="D1342" s="30"/>
      <c r="E1342" s="30"/>
      <c r="F1342" s="88"/>
      <c r="G1342" s="88"/>
      <c r="H1342" s="30"/>
      <c r="I1342" s="96"/>
      <c r="J1342" s="97"/>
      <c r="K1342" s="102"/>
      <c r="L1342" s="103"/>
      <c r="M1342" s="104"/>
      <c r="N1342" s="105"/>
      <c r="O1342" s="98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</row>
    <row r="1343" spans="1:27" x14ac:dyDescent="0.25">
      <c r="A1343" s="88"/>
      <c r="B1343" s="30"/>
      <c r="C1343" s="30"/>
      <c r="D1343" s="30"/>
      <c r="E1343" s="30"/>
      <c r="F1343" s="88"/>
      <c r="G1343" s="88"/>
      <c r="H1343" s="30"/>
      <c r="I1343" s="96"/>
      <c r="J1343" s="97"/>
      <c r="K1343" s="102"/>
      <c r="L1343" s="103"/>
      <c r="M1343" s="104"/>
      <c r="N1343" s="105"/>
      <c r="O1343" s="98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</row>
    <row r="1344" spans="1:27" x14ac:dyDescent="0.25">
      <c r="A1344" s="88"/>
      <c r="B1344" s="30"/>
      <c r="C1344" s="30"/>
      <c r="D1344" s="30"/>
      <c r="E1344" s="30"/>
      <c r="F1344" s="88"/>
      <c r="G1344" s="88"/>
      <c r="H1344" s="30"/>
      <c r="I1344" s="96"/>
      <c r="J1344" s="97"/>
      <c r="K1344" s="102"/>
      <c r="L1344" s="103"/>
      <c r="M1344" s="104"/>
      <c r="N1344" s="105"/>
      <c r="O1344" s="98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</row>
    <row r="1345" spans="1:27" x14ac:dyDescent="0.25">
      <c r="A1345" s="88"/>
      <c r="B1345" s="30"/>
      <c r="C1345" s="30"/>
      <c r="D1345" s="30"/>
      <c r="E1345" s="30"/>
      <c r="F1345" s="88"/>
      <c r="G1345" s="88"/>
      <c r="H1345" s="30"/>
      <c r="I1345" s="96"/>
      <c r="J1345" s="97"/>
      <c r="K1345" s="102"/>
      <c r="L1345" s="103"/>
      <c r="M1345" s="104"/>
      <c r="N1345" s="105"/>
      <c r="O1345" s="98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</row>
    <row r="1346" spans="1:27" x14ac:dyDescent="0.25">
      <c r="A1346" s="88"/>
      <c r="B1346" s="30"/>
      <c r="C1346" s="30"/>
      <c r="D1346" s="30"/>
      <c r="E1346" s="30"/>
      <c r="F1346" s="88"/>
      <c r="G1346" s="88"/>
      <c r="H1346" s="30"/>
      <c r="I1346" s="96"/>
      <c r="J1346" s="97"/>
      <c r="K1346" s="102"/>
      <c r="L1346" s="103"/>
      <c r="M1346" s="104"/>
      <c r="N1346" s="105"/>
      <c r="O1346" s="98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</row>
    <row r="1347" spans="1:27" x14ac:dyDescent="0.25">
      <c r="A1347" s="88"/>
      <c r="B1347" s="30"/>
      <c r="C1347" s="30"/>
      <c r="D1347" s="30"/>
      <c r="E1347" s="30"/>
      <c r="F1347" s="88"/>
      <c r="G1347" s="88"/>
      <c r="H1347" s="30"/>
      <c r="I1347" s="96"/>
      <c r="J1347" s="97"/>
      <c r="K1347" s="102"/>
      <c r="L1347" s="103"/>
      <c r="M1347" s="104"/>
      <c r="N1347" s="105"/>
      <c r="O1347" s="98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</row>
    <row r="1348" spans="1:27" x14ac:dyDescent="0.25">
      <c r="A1348" s="88"/>
      <c r="B1348" s="30"/>
      <c r="C1348" s="30"/>
      <c r="D1348" s="30"/>
      <c r="E1348" s="30"/>
      <c r="F1348" s="88"/>
      <c r="G1348" s="88"/>
      <c r="H1348" s="30"/>
      <c r="I1348" s="96"/>
      <c r="J1348" s="97"/>
      <c r="K1348" s="102"/>
      <c r="L1348" s="103"/>
      <c r="M1348" s="104"/>
      <c r="N1348" s="105"/>
      <c r="O1348" s="98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</row>
    <row r="1349" spans="1:27" x14ac:dyDescent="0.25">
      <c r="A1349" s="88"/>
      <c r="B1349" s="30"/>
      <c r="C1349" s="30"/>
      <c r="D1349" s="30"/>
      <c r="E1349" s="30"/>
      <c r="F1349" s="88"/>
      <c r="G1349" s="88"/>
      <c r="H1349" s="30"/>
      <c r="I1349" s="96"/>
      <c r="J1349" s="97"/>
      <c r="K1349" s="102"/>
      <c r="L1349" s="103"/>
      <c r="M1349" s="104"/>
      <c r="N1349" s="105"/>
      <c r="O1349" s="98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</row>
    <row r="1350" spans="1:27" x14ac:dyDescent="0.25">
      <c r="A1350" s="88"/>
      <c r="B1350" s="30"/>
      <c r="C1350" s="30"/>
      <c r="D1350" s="30"/>
      <c r="E1350" s="30"/>
      <c r="F1350" s="88"/>
      <c r="G1350" s="88"/>
      <c r="H1350" s="30"/>
      <c r="I1350" s="96"/>
      <c r="J1350" s="97"/>
      <c r="K1350" s="102"/>
      <c r="L1350" s="103"/>
      <c r="M1350" s="104"/>
      <c r="N1350" s="105"/>
      <c r="O1350" s="98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</row>
    <row r="1351" spans="1:27" x14ac:dyDescent="0.25">
      <c r="A1351" s="88"/>
      <c r="B1351" s="30"/>
      <c r="C1351" s="30"/>
      <c r="D1351" s="30"/>
      <c r="E1351" s="30"/>
      <c r="F1351" s="88"/>
      <c r="G1351" s="88"/>
      <c r="H1351" s="30"/>
      <c r="I1351" s="96"/>
      <c r="J1351" s="97"/>
      <c r="K1351" s="102"/>
      <c r="L1351" s="103"/>
      <c r="M1351" s="104"/>
      <c r="N1351" s="105"/>
      <c r="O1351" s="98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</row>
    <row r="1352" spans="1:27" x14ac:dyDescent="0.25">
      <c r="A1352" s="88"/>
      <c r="B1352" s="30"/>
      <c r="C1352" s="30"/>
      <c r="D1352" s="30"/>
      <c r="E1352" s="30"/>
      <c r="F1352" s="88"/>
      <c r="G1352" s="88"/>
      <c r="H1352" s="30"/>
      <c r="I1352" s="96"/>
      <c r="J1352" s="97"/>
      <c r="K1352" s="102"/>
      <c r="L1352" s="103"/>
      <c r="M1352" s="104"/>
      <c r="N1352" s="105"/>
      <c r="O1352" s="98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</row>
    <row r="1353" spans="1:27" x14ac:dyDescent="0.25">
      <c r="A1353" s="88"/>
      <c r="B1353" s="30"/>
      <c r="C1353" s="30"/>
      <c r="D1353" s="30"/>
      <c r="E1353" s="30"/>
      <c r="F1353" s="88"/>
      <c r="G1353" s="88"/>
      <c r="H1353" s="30"/>
      <c r="I1353" s="96"/>
      <c r="J1353" s="97"/>
      <c r="K1353" s="102"/>
      <c r="L1353" s="103"/>
      <c r="M1353" s="104"/>
      <c r="N1353" s="105"/>
      <c r="O1353" s="98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</row>
    <row r="1354" spans="1:27" x14ac:dyDescent="0.25">
      <c r="A1354" s="88"/>
      <c r="B1354" s="30"/>
      <c r="C1354" s="30"/>
      <c r="D1354" s="30"/>
      <c r="E1354" s="30"/>
      <c r="F1354" s="88"/>
      <c r="G1354" s="88"/>
      <c r="H1354" s="30"/>
      <c r="I1354" s="96"/>
      <c r="J1354" s="97"/>
      <c r="K1354" s="102"/>
      <c r="L1354" s="103"/>
      <c r="M1354" s="104"/>
      <c r="N1354" s="105"/>
      <c r="O1354" s="98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</row>
    <row r="1355" spans="1:27" x14ac:dyDescent="0.25">
      <c r="A1355" s="88"/>
      <c r="B1355" s="30"/>
      <c r="C1355" s="30"/>
      <c r="D1355" s="30"/>
      <c r="E1355" s="30"/>
      <c r="F1355" s="88"/>
      <c r="G1355" s="88"/>
      <c r="H1355" s="30"/>
      <c r="I1355" s="96"/>
      <c r="J1355" s="97"/>
      <c r="K1355" s="102"/>
      <c r="L1355" s="103"/>
      <c r="M1355" s="104"/>
      <c r="N1355" s="105"/>
      <c r="O1355" s="98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</row>
    <row r="1356" spans="1:27" x14ac:dyDescent="0.25">
      <c r="A1356" s="88"/>
      <c r="B1356" s="30"/>
      <c r="C1356" s="30"/>
      <c r="D1356" s="30"/>
      <c r="E1356" s="30"/>
      <c r="F1356" s="88"/>
      <c r="G1356" s="88"/>
      <c r="H1356" s="30"/>
      <c r="I1356" s="96"/>
      <c r="J1356" s="97"/>
      <c r="K1356" s="102"/>
      <c r="L1356" s="103"/>
      <c r="M1356" s="104"/>
      <c r="N1356" s="105"/>
      <c r="O1356" s="98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</row>
    <row r="1357" spans="1:27" x14ac:dyDescent="0.25">
      <c r="A1357" s="88"/>
      <c r="B1357" s="30"/>
      <c r="C1357" s="30"/>
      <c r="D1357" s="30"/>
      <c r="E1357" s="30"/>
      <c r="F1357" s="88"/>
      <c r="G1357" s="88"/>
      <c r="H1357" s="30"/>
      <c r="I1357" s="96"/>
      <c r="J1357" s="97"/>
      <c r="K1357" s="102"/>
      <c r="L1357" s="103"/>
      <c r="M1357" s="104"/>
      <c r="N1357" s="105"/>
      <c r="O1357" s="98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</row>
    <row r="1358" spans="1:27" x14ac:dyDescent="0.25">
      <c r="A1358" s="88"/>
      <c r="B1358" s="30"/>
      <c r="C1358" s="30"/>
      <c r="D1358" s="30"/>
      <c r="E1358" s="30"/>
      <c r="F1358" s="88"/>
      <c r="G1358" s="88"/>
      <c r="H1358" s="30"/>
      <c r="I1358" s="96"/>
      <c r="J1358" s="97"/>
      <c r="K1358" s="102"/>
      <c r="L1358" s="103"/>
      <c r="M1358" s="104"/>
      <c r="N1358" s="105"/>
      <c r="O1358" s="98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</row>
    <row r="1359" spans="1:27" x14ac:dyDescent="0.25">
      <c r="A1359" s="88"/>
      <c r="B1359" s="30"/>
      <c r="C1359" s="30"/>
      <c r="D1359" s="30"/>
      <c r="E1359" s="30"/>
      <c r="F1359" s="88"/>
      <c r="G1359" s="88"/>
      <c r="H1359" s="30"/>
      <c r="I1359" s="96"/>
      <c r="J1359" s="97"/>
      <c r="K1359" s="102"/>
      <c r="L1359" s="103"/>
      <c r="M1359" s="104"/>
      <c r="N1359" s="105"/>
      <c r="O1359" s="98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</row>
    <row r="1360" spans="1:27" x14ac:dyDescent="0.25">
      <c r="A1360" s="88"/>
      <c r="B1360" s="30"/>
      <c r="C1360" s="30"/>
      <c r="D1360" s="30"/>
      <c r="E1360" s="30"/>
      <c r="F1360" s="88"/>
      <c r="G1360" s="88"/>
      <c r="H1360" s="30"/>
      <c r="I1360" s="96"/>
      <c r="J1360" s="97"/>
      <c r="K1360" s="102"/>
      <c r="L1360" s="103"/>
      <c r="M1360" s="104"/>
      <c r="N1360" s="105"/>
      <c r="O1360" s="98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</row>
    <row r="1361" spans="1:27" x14ac:dyDescent="0.25">
      <c r="A1361" s="88"/>
      <c r="B1361" s="30"/>
      <c r="C1361" s="30"/>
      <c r="D1361" s="30"/>
      <c r="E1361" s="30"/>
      <c r="F1361" s="88"/>
      <c r="G1361" s="88"/>
      <c r="H1361" s="30"/>
      <c r="I1361" s="96"/>
      <c r="J1361" s="97"/>
      <c r="K1361" s="102"/>
      <c r="L1361" s="103"/>
      <c r="M1361" s="104"/>
      <c r="N1361" s="105"/>
      <c r="O1361" s="98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</row>
    <row r="1362" spans="1:27" x14ac:dyDescent="0.25">
      <c r="A1362" s="88"/>
      <c r="B1362" s="30"/>
      <c r="C1362" s="30"/>
      <c r="D1362" s="30"/>
      <c r="E1362" s="30"/>
      <c r="F1362" s="88"/>
      <c r="G1362" s="88"/>
      <c r="H1362" s="30"/>
      <c r="I1362" s="96"/>
      <c r="J1362" s="97"/>
      <c r="K1362" s="102"/>
      <c r="L1362" s="103"/>
      <c r="M1362" s="104"/>
      <c r="N1362" s="105"/>
      <c r="O1362" s="98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</row>
    <row r="1363" spans="1:27" x14ac:dyDescent="0.25">
      <c r="A1363" s="88"/>
      <c r="B1363" s="30"/>
      <c r="C1363" s="30"/>
      <c r="D1363" s="30"/>
      <c r="E1363" s="30"/>
      <c r="F1363" s="88"/>
      <c r="G1363" s="88"/>
      <c r="H1363" s="30"/>
      <c r="I1363" s="96"/>
      <c r="J1363" s="97"/>
      <c r="K1363" s="102"/>
      <c r="L1363" s="103"/>
      <c r="M1363" s="104"/>
      <c r="N1363" s="105"/>
      <c r="O1363" s="98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</row>
    <row r="1364" spans="1:27" x14ac:dyDescent="0.25">
      <c r="A1364" s="88"/>
      <c r="B1364" s="30"/>
      <c r="C1364" s="30"/>
      <c r="D1364" s="30"/>
      <c r="E1364" s="30"/>
      <c r="F1364" s="88"/>
      <c r="G1364" s="88"/>
      <c r="H1364" s="30"/>
      <c r="I1364" s="96"/>
      <c r="J1364" s="97"/>
      <c r="K1364" s="102"/>
      <c r="L1364" s="103"/>
      <c r="M1364" s="104"/>
      <c r="N1364" s="105"/>
      <c r="O1364" s="98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</row>
    <row r="1365" spans="1:27" x14ac:dyDescent="0.25">
      <c r="A1365" s="88"/>
      <c r="B1365" s="30"/>
      <c r="C1365" s="30"/>
      <c r="D1365" s="30"/>
      <c r="E1365" s="30"/>
      <c r="F1365" s="88"/>
      <c r="G1365" s="88"/>
      <c r="H1365" s="30"/>
      <c r="I1365" s="96"/>
      <c r="J1365" s="97"/>
      <c r="K1365" s="102"/>
      <c r="L1365" s="103"/>
      <c r="M1365" s="104"/>
      <c r="N1365" s="105"/>
      <c r="O1365" s="98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</row>
    <row r="1366" spans="1:27" x14ac:dyDescent="0.25">
      <c r="A1366" s="88"/>
      <c r="B1366" s="30"/>
      <c r="C1366" s="30"/>
      <c r="D1366" s="30"/>
      <c r="E1366" s="30"/>
      <c r="F1366" s="88"/>
      <c r="G1366" s="88"/>
      <c r="H1366" s="30"/>
      <c r="I1366" s="96"/>
      <c r="J1366" s="97"/>
      <c r="K1366" s="102"/>
      <c r="L1366" s="103"/>
      <c r="M1366" s="104"/>
      <c r="N1366" s="105"/>
      <c r="O1366" s="98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</row>
    <row r="1367" spans="1:27" x14ac:dyDescent="0.25">
      <c r="A1367" s="88"/>
      <c r="B1367" s="30"/>
      <c r="C1367" s="30"/>
      <c r="D1367" s="30"/>
      <c r="E1367" s="30"/>
      <c r="F1367" s="88"/>
      <c r="G1367" s="88"/>
      <c r="H1367" s="30"/>
      <c r="I1367" s="96"/>
      <c r="J1367" s="97"/>
      <c r="K1367" s="102"/>
      <c r="L1367" s="103"/>
      <c r="M1367" s="104"/>
      <c r="N1367" s="105"/>
      <c r="O1367" s="98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</row>
    <row r="1368" spans="1:27" x14ac:dyDescent="0.25">
      <c r="A1368" s="88"/>
      <c r="B1368" s="30"/>
      <c r="C1368" s="30"/>
      <c r="D1368" s="30"/>
      <c r="E1368" s="30"/>
      <c r="F1368" s="88"/>
      <c r="G1368" s="88"/>
      <c r="H1368" s="30"/>
      <c r="I1368" s="96"/>
      <c r="J1368" s="97"/>
      <c r="K1368" s="102"/>
      <c r="L1368" s="103"/>
      <c r="M1368" s="104"/>
      <c r="N1368" s="105"/>
      <c r="O1368" s="98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</row>
    <row r="1369" spans="1:27" x14ac:dyDescent="0.25">
      <c r="A1369" s="88"/>
      <c r="B1369" s="30"/>
      <c r="C1369" s="30"/>
      <c r="D1369" s="30"/>
      <c r="E1369" s="30"/>
      <c r="F1369" s="88"/>
      <c r="G1369" s="88"/>
      <c r="H1369" s="30"/>
      <c r="I1369" s="96"/>
      <c r="J1369" s="97"/>
      <c r="K1369" s="102"/>
      <c r="L1369" s="103"/>
      <c r="M1369" s="104"/>
      <c r="N1369" s="105"/>
      <c r="O1369" s="98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</row>
    <row r="1370" spans="1:27" x14ac:dyDescent="0.25">
      <c r="A1370" s="88"/>
      <c r="B1370" s="30"/>
      <c r="C1370" s="30"/>
      <c r="D1370" s="30"/>
      <c r="E1370" s="30"/>
      <c r="F1370" s="88"/>
      <c r="G1370" s="88"/>
      <c r="H1370" s="30"/>
      <c r="I1370" s="96"/>
      <c r="J1370" s="97"/>
      <c r="K1370" s="102"/>
      <c r="L1370" s="103"/>
      <c r="M1370" s="104"/>
      <c r="N1370" s="105"/>
      <c r="O1370" s="98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</row>
    <row r="1371" spans="1:27" x14ac:dyDescent="0.25">
      <c r="A1371" s="88"/>
      <c r="B1371" s="30"/>
      <c r="C1371" s="30"/>
      <c r="D1371" s="30"/>
      <c r="E1371" s="30"/>
      <c r="F1371" s="88"/>
      <c r="G1371" s="88"/>
      <c r="H1371" s="30"/>
      <c r="I1371" s="96"/>
      <c r="J1371" s="97"/>
      <c r="K1371" s="102"/>
      <c r="L1371" s="103"/>
      <c r="M1371" s="104"/>
      <c r="N1371" s="105"/>
      <c r="O1371" s="98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</row>
    <row r="1372" spans="1:27" x14ac:dyDescent="0.25">
      <c r="A1372" s="88"/>
      <c r="B1372" s="30"/>
      <c r="C1372" s="30"/>
      <c r="D1372" s="30"/>
      <c r="E1372" s="30"/>
      <c r="F1372" s="88"/>
      <c r="G1372" s="88"/>
      <c r="H1372" s="30"/>
      <c r="I1372" s="96"/>
      <c r="J1372" s="97"/>
      <c r="K1372" s="102"/>
      <c r="L1372" s="103"/>
      <c r="M1372" s="104"/>
      <c r="N1372" s="105"/>
      <c r="O1372" s="98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</row>
    <row r="1373" spans="1:27" x14ac:dyDescent="0.25">
      <c r="A1373" s="88"/>
      <c r="B1373" s="30"/>
      <c r="C1373" s="30"/>
      <c r="D1373" s="30"/>
      <c r="E1373" s="30"/>
      <c r="F1373" s="88"/>
      <c r="G1373" s="88"/>
      <c r="H1373" s="30"/>
      <c r="I1373" s="96"/>
      <c r="J1373" s="97"/>
      <c r="K1373" s="102"/>
      <c r="L1373" s="103"/>
      <c r="M1373" s="104"/>
      <c r="N1373" s="105"/>
      <c r="O1373" s="98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</row>
    <row r="1374" spans="1:27" x14ac:dyDescent="0.25">
      <c r="A1374" s="88"/>
      <c r="B1374" s="30"/>
      <c r="C1374" s="30"/>
      <c r="D1374" s="30"/>
      <c r="E1374" s="30"/>
      <c r="F1374" s="88"/>
      <c r="G1374" s="88"/>
      <c r="H1374" s="30"/>
      <c r="I1374" s="96"/>
      <c r="J1374" s="97"/>
      <c r="K1374" s="102"/>
      <c r="L1374" s="103"/>
      <c r="M1374" s="104"/>
      <c r="N1374" s="105"/>
      <c r="O1374" s="98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</row>
    <row r="1375" spans="1:27" x14ac:dyDescent="0.25">
      <c r="A1375" s="88"/>
      <c r="B1375" s="30"/>
      <c r="C1375" s="30"/>
      <c r="D1375" s="30"/>
      <c r="E1375" s="30"/>
      <c r="F1375" s="88"/>
      <c r="G1375" s="88"/>
      <c r="H1375" s="30"/>
      <c r="I1375" s="96"/>
      <c r="J1375" s="97"/>
      <c r="K1375" s="102"/>
      <c r="L1375" s="103"/>
      <c r="M1375" s="104"/>
      <c r="N1375" s="105"/>
      <c r="O1375" s="98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</row>
    <row r="1376" spans="1:27" x14ac:dyDescent="0.25">
      <c r="A1376" s="88"/>
      <c r="B1376" s="30"/>
      <c r="C1376" s="30"/>
      <c r="D1376" s="30"/>
      <c r="E1376" s="30"/>
      <c r="F1376" s="88"/>
      <c r="G1376" s="88"/>
      <c r="H1376" s="30"/>
      <c r="I1376" s="96"/>
      <c r="J1376" s="97"/>
      <c r="K1376" s="102"/>
      <c r="L1376" s="103"/>
      <c r="M1376" s="104"/>
      <c r="N1376" s="105"/>
      <c r="O1376" s="98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</row>
    <row r="1377" spans="1:27" x14ac:dyDescent="0.25">
      <c r="A1377" s="88"/>
      <c r="B1377" s="30"/>
      <c r="C1377" s="30"/>
      <c r="D1377" s="30"/>
      <c r="E1377" s="30"/>
      <c r="F1377" s="88"/>
      <c r="G1377" s="88"/>
      <c r="H1377" s="30"/>
      <c r="I1377" s="96"/>
      <c r="J1377" s="97"/>
      <c r="K1377" s="102"/>
      <c r="L1377" s="103"/>
      <c r="M1377" s="104"/>
      <c r="N1377" s="105"/>
      <c r="O1377" s="98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</row>
    <row r="1378" spans="1:27" x14ac:dyDescent="0.25">
      <c r="A1378" s="88"/>
      <c r="B1378" s="30"/>
      <c r="C1378" s="30"/>
      <c r="D1378" s="30"/>
      <c r="E1378" s="30"/>
      <c r="F1378" s="88"/>
      <c r="G1378" s="88"/>
      <c r="H1378" s="30"/>
      <c r="I1378" s="96"/>
      <c r="J1378" s="97"/>
      <c r="K1378" s="102"/>
      <c r="L1378" s="103"/>
      <c r="M1378" s="104"/>
      <c r="N1378" s="105"/>
      <c r="O1378" s="98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</row>
    <row r="1379" spans="1:27" x14ac:dyDescent="0.25">
      <c r="A1379" s="88"/>
      <c r="B1379" s="30"/>
      <c r="C1379" s="30"/>
      <c r="D1379" s="30"/>
      <c r="E1379" s="30"/>
      <c r="F1379" s="88"/>
      <c r="G1379" s="88"/>
      <c r="H1379" s="30"/>
      <c r="I1379" s="96"/>
      <c r="J1379" s="97"/>
      <c r="K1379" s="102"/>
      <c r="L1379" s="103"/>
      <c r="M1379" s="104"/>
      <c r="N1379" s="105"/>
      <c r="O1379" s="98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</row>
    <row r="1380" spans="1:27" x14ac:dyDescent="0.25">
      <c r="A1380" s="88"/>
      <c r="B1380" s="30"/>
      <c r="C1380" s="30"/>
      <c r="D1380" s="30"/>
      <c r="E1380" s="30"/>
      <c r="F1380" s="88"/>
      <c r="G1380" s="88"/>
      <c r="H1380" s="30"/>
      <c r="I1380" s="96"/>
      <c r="J1380" s="97"/>
      <c r="K1380" s="102"/>
      <c r="L1380" s="103"/>
      <c r="M1380" s="104"/>
      <c r="N1380" s="105"/>
      <c r="O1380" s="98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</row>
    <row r="1381" spans="1:27" x14ac:dyDescent="0.25">
      <c r="A1381" s="88"/>
      <c r="B1381" s="30"/>
      <c r="C1381" s="30"/>
      <c r="D1381" s="30"/>
      <c r="E1381" s="30"/>
      <c r="F1381" s="88"/>
      <c r="G1381" s="88"/>
      <c r="H1381" s="30"/>
      <c r="I1381" s="96"/>
      <c r="J1381" s="97"/>
      <c r="K1381" s="102"/>
      <c r="L1381" s="103"/>
      <c r="M1381" s="104"/>
      <c r="N1381" s="105"/>
      <c r="O1381" s="98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</row>
    <row r="1382" spans="1:27" x14ac:dyDescent="0.25">
      <c r="A1382" s="88"/>
      <c r="B1382" s="30"/>
      <c r="C1382" s="30"/>
      <c r="D1382" s="30"/>
      <c r="E1382" s="30"/>
      <c r="F1382" s="88"/>
      <c r="G1382" s="88"/>
      <c r="H1382" s="30"/>
      <c r="I1382" s="96"/>
      <c r="J1382" s="97"/>
      <c r="K1382" s="102"/>
      <c r="L1382" s="103"/>
      <c r="M1382" s="104"/>
      <c r="N1382" s="105"/>
      <c r="O1382" s="98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</row>
    <row r="1383" spans="1:27" x14ac:dyDescent="0.25">
      <c r="A1383" s="88"/>
      <c r="B1383" s="30"/>
      <c r="C1383" s="30"/>
      <c r="D1383" s="30"/>
      <c r="E1383" s="30"/>
      <c r="F1383" s="88"/>
      <c r="G1383" s="88"/>
      <c r="H1383" s="30"/>
      <c r="I1383" s="96"/>
      <c r="J1383" s="97"/>
      <c r="K1383" s="102"/>
      <c r="L1383" s="103"/>
      <c r="M1383" s="104"/>
      <c r="N1383" s="105"/>
      <c r="O1383" s="98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</row>
    <row r="1384" spans="1:27" x14ac:dyDescent="0.25">
      <c r="A1384" s="88"/>
      <c r="B1384" s="30"/>
      <c r="C1384" s="30"/>
      <c r="D1384" s="30"/>
      <c r="E1384" s="30"/>
      <c r="F1384" s="88"/>
      <c r="G1384" s="88"/>
      <c r="H1384" s="30"/>
      <c r="I1384" s="96"/>
      <c r="J1384" s="97"/>
      <c r="K1384" s="102"/>
      <c r="L1384" s="103"/>
      <c r="M1384" s="104"/>
      <c r="N1384" s="105"/>
      <c r="O1384" s="98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</row>
    <row r="1385" spans="1:27" x14ac:dyDescent="0.25">
      <c r="A1385" s="88"/>
      <c r="B1385" s="30"/>
      <c r="C1385" s="30"/>
      <c r="D1385" s="30"/>
      <c r="E1385" s="30"/>
      <c r="F1385" s="88"/>
      <c r="G1385" s="88"/>
      <c r="H1385" s="30"/>
      <c r="I1385" s="96"/>
      <c r="J1385" s="97"/>
      <c r="K1385" s="102"/>
      <c r="L1385" s="103"/>
      <c r="M1385" s="104"/>
      <c r="N1385" s="105"/>
      <c r="O1385" s="98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</row>
    <row r="1386" spans="1:27" x14ac:dyDescent="0.25">
      <c r="A1386" s="88"/>
      <c r="B1386" s="30"/>
      <c r="C1386" s="30"/>
      <c r="D1386" s="30"/>
      <c r="E1386" s="30"/>
      <c r="F1386" s="88"/>
      <c r="G1386" s="88"/>
      <c r="H1386" s="30"/>
      <c r="I1386" s="96"/>
      <c r="J1386" s="97"/>
      <c r="K1386" s="102"/>
      <c r="L1386" s="103"/>
      <c r="M1386" s="104"/>
      <c r="N1386" s="105"/>
      <c r="O1386" s="98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</row>
    <row r="1387" spans="1:27" x14ac:dyDescent="0.25">
      <c r="A1387" s="88"/>
      <c r="B1387" s="30"/>
      <c r="C1387" s="30"/>
      <c r="D1387" s="30"/>
      <c r="E1387" s="30"/>
      <c r="F1387" s="88"/>
      <c r="G1387" s="88"/>
      <c r="H1387" s="30"/>
      <c r="I1387" s="96"/>
      <c r="J1387" s="97"/>
      <c r="K1387" s="102"/>
      <c r="L1387" s="103"/>
      <c r="M1387" s="104"/>
      <c r="N1387" s="105"/>
      <c r="O1387" s="98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</row>
    <row r="1388" spans="1:27" x14ac:dyDescent="0.25">
      <c r="A1388" s="88"/>
      <c r="B1388" s="30"/>
      <c r="C1388" s="30"/>
      <c r="D1388" s="30"/>
      <c r="E1388" s="30"/>
      <c r="F1388" s="88"/>
      <c r="G1388" s="88"/>
      <c r="H1388" s="30"/>
      <c r="I1388" s="96"/>
      <c r="J1388" s="97"/>
      <c r="K1388" s="102"/>
      <c r="L1388" s="103"/>
      <c r="M1388" s="104"/>
      <c r="N1388" s="105"/>
      <c r="O1388" s="98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</row>
    <row r="1389" spans="1:27" x14ac:dyDescent="0.25">
      <c r="A1389" s="88"/>
      <c r="B1389" s="30"/>
      <c r="C1389" s="30"/>
      <c r="D1389" s="30"/>
      <c r="E1389" s="30"/>
      <c r="F1389" s="88"/>
      <c r="G1389" s="88"/>
      <c r="H1389" s="30"/>
      <c r="I1389" s="96"/>
      <c r="J1389" s="97"/>
      <c r="K1389" s="102"/>
      <c r="L1389" s="103"/>
      <c r="M1389" s="104"/>
      <c r="N1389" s="105"/>
      <c r="O1389" s="98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</row>
    <row r="1390" spans="1:27" x14ac:dyDescent="0.25">
      <c r="A1390" s="88"/>
      <c r="B1390" s="30"/>
      <c r="C1390" s="30"/>
      <c r="D1390" s="30"/>
      <c r="E1390" s="30"/>
      <c r="F1390" s="88"/>
      <c r="G1390" s="88"/>
      <c r="H1390" s="30"/>
      <c r="I1390" s="96"/>
      <c r="J1390" s="97"/>
      <c r="K1390" s="102"/>
      <c r="L1390" s="103"/>
      <c r="M1390" s="104"/>
      <c r="N1390" s="105"/>
      <c r="O1390" s="98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</row>
    <row r="1391" spans="1:27" x14ac:dyDescent="0.25">
      <c r="A1391" s="88"/>
      <c r="B1391" s="30"/>
      <c r="C1391" s="30"/>
      <c r="D1391" s="30"/>
      <c r="E1391" s="30"/>
      <c r="F1391" s="88"/>
      <c r="G1391" s="88"/>
      <c r="H1391" s="30"/>
      <c r="I1391" s="96"/>
      <c r="J1391" s="97"/>
      <c r="K1391" s="102"/>
      <c r="L1391" s="103"/>
      <c r="M1391" s="104"/>
      <c r="N1391" s="105"/>
      <c r="O1391" s="98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</row>
    <row r="1392" spans="1:27" x14ac:dyDescent="0.25">
      <c r="A1392" s="88"/>
      <c r="B1392" s="30"/>
      <c r="C1392" s="30"/>
      <c r="D1392" s="30"/>
      <c r="E1392" s="30"/>
      <c r="F1392" s="88"/>
      <c r="G1392" s="88"/>
      <c r="H1392" s="30"/>
      <c r="I1392" s="96"/>
      <c r="J1392" s="97"/>
      <c r="K1392" s="102"/>
      <c r="L1392" s="103"/>
      <c r="M1392" s="104"/>
      <c r="N1392" s="105"/>
      <c r="O1392" s="98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</row>
    <row r="1393" spans="1:27" x14ac:dyDescent="0.25">
      <c r="A1393" s="88"/>
      <c r="B1393" s="30"/>
      <c r="C1393" s="30"/>
      <c r="D1393" s="30"/>
      <c r="E1393" s="30"/>
      <c r="F1393" s="88"/>
      <c r="G1393" s="88"/>
      <c r="H1393" s="30"/>
      <c r="I1393" s="96"/>
      <c r="J1393" s="97"/>
      <c r="K1393" s="102"/>
      <c r="L1393" s="103"/>
      <c r="M1393" s="104"/>
      <c r="N1393" s="105"/>
      <c r="O1393" s="98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</row>
    <row r="1394" spans="1:27" x14ac:dyDescent="0.25">
      <c r="A1394" s="88"/>
      <c r="B1394" s="30"/>
      <c r="C1394" s="30"/>
      <c r="D1394" s="30"/>
      <c r="E1394" s="30"/>
      <c r="F1394" s="88"/>
      <c r="G1394" s="88"/>
      <c r="H1394" s="30"/>
      <c r="I1394" s="96"/>
      <c r="J1394" s="97"/>
      <c r="K1394" s="102"/>
      <c r="L1394" s="103"/>
      <c r="M1394" s="104"/>
      <c r="N1394" s="105"/>
      <c r="O1394" s="98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</row>
    <row r="1395" spans="1:27" x14ac:dyDescent="0.25">
      <c r="A1395" s="88"/>
      <c r="B1395" s="30"/>
      <c r="C1395" s="30"/>
      <c r="D1395" s="30"/>
      <c r="E1395" s="30"/>
      <c r="F1395" s="88"/>
      <c r="G1395" s="88"/>
      <c r="H1395" s="30"/>
      <c r="I1395" s="96"/>
      <c r="J1395" s="97"/>
      <c r="K1395" s="102"/>
      <c r="L1395" s="103"/>
      <c r="M1395" s="104"/>
      <c r="N1395" s="105"/>
      <c r="O1395" s="98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</row>
    <row r="1396" spans="1:27" x14ac:dyDescent="0.25">
      <c r="A1396" s="88"/>
      <c r="B1396" s="30"/>
      <c r="C1396" s="30"/>
      <c r="D1396" s="30"/>
      <c r="E1396" s="30"/>
      <c r="F1396" s="88"/>
      <c r="G1396" s="88"/>
      <c r="H1396" s="30"/>
      <c r="I1396" s="96"/>
      <c r="J1396" s="97"/>
      <c r="K1396" s="102"/>
      <c r="L1396" s="103"/>
      <c r="M1396" s="104"/>
      <c r="N1396" s="105"/>
      <c r="O1396" s="98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</row>
    <row r="1397" spans="1:27" x14ac:dyDescent="0.25">
      <c r="A1397" s="88"/>
      <c r="B1397" s="30"/>
      <c r="C1397" s="30"/>
      <c r="D1397" s="30"/>
      <c r="E1397" s="30"/>
      <c r="F1397" s="88"/>
      <c r="G1397" s="88"/>
      <c r="H1397" s="30"/>
      <c r="I1397" s="96"/>
      <c r="J1397" s="97"/>
      <c r="K1397" s="102"/>
      <c r="L1397" s="103"/>
      <c r="M1397" s="104"/>
      <c r="N1397" s="105"/>
      <c r="O1397" s="98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</row>
    <row r="1398" spans="1:27" x14ac:dyDescent="0.25">
      <c r="A1398" s="88"/>
      <c r="B1398" s="30"/>
      <c r="C1398" s="30"/>
      <c r="D1398" s="30"/>
      <c r="E1398" s="30"/>
      <c r="F1398" s="88"/>
      <c r="G1398" s="88"/>
      <c r="H1398" s="30"/>
      <c r="I1398" s="96"/>
      <c r="J1398" s="97"/>
      <c r="K1398" s="102"/>
      <c r="L1398" s="103"/>
      <c r="M1398" s="104"/>
      <c r="N1398" s="105"/>
      <c r="O1398" s="98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</row>
    <row r="1399" spans="1:27" x14ac:dyDescent="0.25">
      <c r="A1399" s="88"/>
      <c r="B1399" s="30"/>
      <c r="C1399" s="30"/>
      <c r="D1399" s="30"/>
      <c r="E1399" s="30"/>
      <c r="F1399" s="88"/>
      <c r="G1399" s="88"/>
      <c r="H1399" s="30"/>
      <c r="I1399" s="96"/>
      <c r="J1399" s="97"/>
      <c r="K1399" s="102"/>
      <c r="L1399" s="103"/>
      <c r="M1399" s="104"/>
      <c r="N1399" s="105"/>
      <c r="O1399" s="98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</row>
    <row r="1400" spans="1:27" x14ac:dyDescent="0.25">
      <c r="A1400" s="88"/>
      <c r="B1400" s="30"/>
      <c r="C1400" s="30"/>
      <c r="D1400" s="30"/>
      <c r="E1400" s="30"/>
      <c r="F1400" s="88"/>
      <c r="G1400" s="88"/>
      <c r="H1400" s="30"/>
      <c r="I1400" s="96"/>
      <c r="J1400" s="97"/>
      <c r="K1400" s="102"/>
      <c r="L1400" s="103"/>
      <c r="M1400" s="104"/>
      <c r="N1400" s="105"/>
      <c r="O1400" s="98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</row>
    <row r="1401" spans="1:27" x14ac:dyDescent="0.25">
      <c r="A1401" s="88"/>
      <c r="B1401" s="30"/>
      <c r="C1401" s="30"/>
      <c r="D1401" s="30"/>
      <c r="E1401" s="30"/>
      <c r="F1401" s="88"/>
      <c r="G1401" s="88"/>
      <c r="H1401" s="30"/>
      <c r="I1401" s="96"/>
      <c r="J1401" s="97"/>
      <c r="K1401" s="102"/>
      <c r="L1401" s="103"/>
      <c r="M1401" s="104"/>
      <c r="N1401" s="105"/>
      <c r="O1401" s="98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</row>
    <row r="1402" spans="1:27" x14ac:dyDescent="0.25">
      <c r="A1402" s="88"/>
      <c r="B1402" s="30"/>
      <c r="C1402" s="30"/>
      <c r="D1402" s="30"/>
      <c r="E1402" s="30"/>
      <c r="F1402" s="88"/>
      <c r="G1402" s="88"/>
      <c r="H1402" s="30"/>
      <c r="I1402" s="96"/>
      <c r="J1402" s="97"/>
      <c r="K1402" s="102"/>
      <c r="L1402" s="103"/>
      <c r="M1402" s="104"/>
      <c r="N1402" s="105"/>
      <c r="O1402" s="98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</row>
    <row r="1403" spans="1:27" x14ac:dyDescent="0.25">
      <c r="A1403" s="88"/>
      <c r="B1403" s="30"/>
      <c r="C1403" s="30"/>
      <c r="D1403" s="30"/>
      <c r="E1403" s="30"/>
      <c r="F1403" s="88"/>
      <c r="G1403" s="88"/>
      <c r="H1403" s="30"/>
      <c r="I1403" s="96"/>
      <c r="J1403" s="97"/>
      <c r="K1403" s="102"/>
      <c r="L1403" s="103"/>
      <c r="M1403" s="104"/>
      <c r="N1403" s="105"/>
      <c r="O1403" s="98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</row>
    <row r="1404" spans="1:27" x14ac:dyDescent="0.25">
      <c r="A1404" s="88"/>
      <c r="B1404" s="30"/>
      <c r="C1404" s="30"/>
      <c r="D1404" s="30"/>
      <c r="E1404" s="30"/>
      <c r="F1404" s="88"/>
      <c r="G1404" s="88"/>
      <c r="H1404" s="30"/>
      <c r="I1404" s="96"/>
      <c r="J1404" s="97"/>
      <c r="K1404" s="102"/>
      <c r="L1404" s="103"/>
      <c r="M1404" s="104"/>
      <c r="N1404" s="105"/>
      <c r="O1404" s="98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</row>
    <row r="1405" spans="1:27" x14ac:dyDescent="0.25">
      <c r="A1405" s="88"/>
      <c r="B1405" s="30"/>
      <c r="C1405" s="30"/>
      <c r="D1405" s="30"/>
      <c r="E1405" s="30"/>
      <c r="F1405" s="88"/>
      <c r="G1405" s="88"/>
      <c r="H1405" s="30"/>
      <c r="I1405" s="96"/>
      <c r="J1405" s="97"/>
      <c r="K1405" s="102"/>
      <c r="L1405" s="103"/>
      <c r="M1405" s="104"/>
      <c r="N1405" s="105"/>
      <c r="O1405" s="98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</row>
    <row r="1406" spans="1:27" x14ac:dyDescent="0.25">
      <c r="A1406" s="88"/>
      <c r="B1406" s="30"/>
      <c r="C1406" s="30"/>
      <c r="D1406" s="30"/>
      <c r="E1406" s="30"/>
      <c r="F1406" s="88"/>
      <c r="G1406" s="88"/>
      <c r="H1406" s="30"/>
      <c r="I1406" s="96"/>
      <c r="J1406" s="97"/>
      <c r="K1406" s="102"/>
      <c r="L1406" s="103"/>
      <c r="M1406" s="104"/>
      <c r="N1406" s="105"/>
      <c r="O1406" s="98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</row>
    <row r="1407" spans="1:27" x14ac:dyDescent="0.25">
      <c r="A1407" s="88"/>
      <c r="B1407" s="30"/>
      <c r="C1407" s="30"/>
      <c r="D1407" s="30"/>
      <c r="E1407" s="30"/>
      <c r="F1407" s="88"/>
      <c r="G1407" s="88"/>
      <c r="H1407" s="30"/>
      <c r="I1407" s="96"/>
      <c r="J1407" s="97"/>
      <c r="K1407" s="102"/>
      <c r="L1407" s="103"/>
      <c r="M1407" s="104"/>
      <c r="N1407" s="105"/>
      <c r="O1407" s="98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</row>
    <row r="1408" spans="1:27" x14ac:dyDescent="0.25">
      <c r="A1408" s="88"/>
      <c r="B1408" s="30"/>
      <c r="C1408" s="30"/>
      <c r="D1408" s="30"/>
      <c r="E1408" s="30"/>
      <c r="F1408" s="88"/>
      <c r="G1408" s="88"/>
      <c r="H1408" s="30"/>
      <c r="I1408" s="96"/>
      <c r="J1408" s="97"/>
      <c r="K1408" s="102"/>
      <c r="L1408" s="103"/>
      <c r="M1408" s="104"/>
      <c r="N1408" s="105"/>
      <c r="O1408" s="98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</row>
    <row r="1409" spans="1:27" x14ac:dyDescent="0.25">
      <c r="A1409" s="88"/>
      <c r="B1409" s="30"/>
      <c r="C1409" s="30"/>
      <c r="D1409" s="30"/>
      <c r="E1409" s="30"/>
      <c r="F1409" s="88"/>
      <c r="G1409" s="88"/>
      <c r="H1409" s="30"/>
      <c r="I1409" s="96"/>
      <c r="J1409" s="97"/>
      <c r="K1409" s="102"/>
      <c r="L1409" s="103"/>
      <c r="M1409" s="104"/>
      <c r="N1409" s="105"/>
      <c r="O1409" s="98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</row>
    <row r="1410" spans="1:27" x14ac:dyDescent="0.25">
      <c r="A1410" s="88"/>
      <c r="B1410" s="30"/>
      <c r="C1410" s="30"/>
      <c r="D1410" s="30"/>
      <c r="E1410" s="30"/>
      <c r="F1410" s="88"/>
      <c r="G1410" s="88"/>
      <c r="H1410" s="30"/>
      <c r="I1410" s="96"/>
      <c r="J1410" s="97"/>
      <c r="K1410" s="102"/>
      <c r="L1410" s="103"/>
      <c r="M1410" s="104"/>
      <c r="N1410" s="105"/>
      <c r="O1410" s="98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</row>
    <row r="1411" spans="1:27" x14ac:dyDescent="0.25">
      <c r="A1411" s="88"/>
      <c r="B1411" s="30"/>
      <c r="C1411" s="30"/>
      <c r="D1411" s="30"/>
      <c r="E1411" s="30"/>
      <c r="F1411" s="88"/>
      <c r="G1411" s="88"/>
      <c r="H1411" s="30"/>
      <c r="I1411" s="96"/>
      <c r="J1411" s="97"/>
      <c r="K1411" s="102"/>
      <c r="L1411" s="103"/>
      <c r="M1411" s="104"/>
      <c r="N1411" s="105"/>
      <c r="O1411" s="98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</row>
    <row r="1412" spans="1:27" x14ac:dyDescent="0.25">
      <c r="A1412" s="88"/>
      <c r="B1412" s="30"/>
      <c r="C1412" s="30"/>
      <c r="D1412" s="30"/>
      <c r="E1412" s="30"/>
      <c r="F1412" s="88"/>
      <c r="G1412" s="88"/>
      <c r="H1412" s="30"/>
      <c r="I1412" s="96"/>
      <c r="J1412" s="97"/>
      <c r="K1412" s="102"/>
      <c r="L1412" s="103"/>
      <c r="M1412" s="104"/>
      <c r="N1412" s="105"/>
      <c r="O1412" s="98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</row>
    <row r="1413" spans="1:27" x14ac:dyDescent="0.25">
      <c r="A1413" s="88"/>
      <c r="B1413" s="30"/>
      <c r="C1413" s="30"/>
      <c r="D1413" s="30"/>
      <c r="E1413" s="30"/>
      <c r="F1413" s="88"/>
      <c r="G1413" s="88"/>
      <c r="H1413" s="30"/>
      <c r="I1413" s="96"/>
      <c r="J1413" s="97"/>
      <c r="K1413" s="102"/>
      <c r="L1413" s="103"/>
      <c r="M1413" s="104"/>
      <c r="N1413" s="105"/>
      <c r="O1413" s="98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</row>
    <row r="1414" spans="1:27" x14ac:dyDescent="0.25">
      <c r="A1414" s="88"/>
      <c r="B1414" s="30"/>
      <c r="C1414" s="30"/>
      <c r="D1414" s="30"/>
      <c r="E1414" s="30"/>
      <c r="F1414" s="88"/>
      <c r="G1414" s="88"/>
      <c r="H1414" s="30"/>
      <c r="I1414" s="96"/>
      <c r="J1414" s="97"/>
      <c r="K1414" s="102"/>
      <c r="L1414" s="103"/>
      <c r="M1414" s="104"/>
      <c r="N1414" s="105"/>
      <c r="O1414" s="98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</row>
    <row r="1415" spans="1:27" x14ac:dyDescent="0.25">
      <c r="A1415" s="88"/>
      <c r="B1415" s="30"/>
      <c r="C1415" s="30"/>
      <c r="D1415" s="30"/>
      <c r="E1415" s="30"/>
      <c r="F1415" s="88"/>
      <c r="G1415" s="88"/>
      <c r="H1415" s="30"/>
      <c r="I1415" s="96"/>
      <c r="J1415" s="97"/>
      <c r="K1415" s="102"/>
      <c r="L1415" s="103"/>
      <c r="M1415" s="104"/>
      <c r="N1415" s="105"/>
      <c r="O1415" s="98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</row>
    <row r="1416" spans="1:27" x14ac:dyDescent="0.25">
      <c r="A1416" s="88"/>
      <c r="B1416" s="30"/>
      <c r="C1416" s="30"/>
      <c r="D1416" s="30"/>
      <c r="E1416" s="30"/>
      <c r="F1416" s="88"/>
      <c r="G1416" s="88"/>
      <c r="H1416" s="30"/>
      <c r="I1416" s="96"/>
      <c r="J1416" s="97"/>
      <c r="K1416" s="102"/>
      <c r="L1416" s="103"/>
      <c r="M1416" s="104"/>
      <c r="N1416" s="105"/>
      <c r="O1416" s="98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</row>
    <row r="1417" spans="1:27" x14ac:dyDescent="0.25">
      <c r="A1417" s="88"/>
      <c r="B1417" s="30"/>
      <c r="C1417" s="30"/>
      <c r="D1417" s="30"/>
      <c r="E1417" s="30"/>
      <c r="F1417" s="88"/>
      <c r="G1417" s="88"/>
      <c r="H1417" s="30"/>
      <c r="I1417" s="96"/>
      <c r="J1417" s="97"/>
      <c r="K1417" s="102"/>
      <c r="L1417" s="103"/>
      <c r="M1417" s="104"/>
      <c r="N1417" s="105"/>
      <c r="O1417" s="98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</row>
    <row r="1418" spans="1:27" x14ac:dyDescent="0.25">
      <c r="A1418" s="88"/>
      <c r="B1418" s="30"/>
      <c r="C1418" s="30"/>
      <c r="D1418" s="30"/>
      <c r="E1418" s="30"/>
      <c r="F1418" s="88"/>
      <c r="G1418" s="88"/>
      <c r="H1418" s="30"/>
      <c r="I1418" s="96"/>
      <c r="J1418" s="97"/>
      <c r="K1418" s="102"/>
      <c r="L1418" s="103"/>
      <c r="M1418" s="104"/>
      <c r="N1418" s="105"/>
      <c r="O1418" s="98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</row>
    <row r="1419" spans="1:27" x14ac:dyDescent="0.25">
      <c r="A1419" s="88"/>
      <c r="B1419" s="30"/>
      <c r="C1419" s="30"/>
      <c r="D1419" s="30"/>
      <c r="E1419" s="30"/>
      <c r="F1419" s="88"/>
      <c r="G1419" s="88"/>
      <c r="H1419" s="30"/>
      <c r="I1419" s="96"/>
      <c r="J1419" s="97"/>
      <c r="K1419" s="102"/>
      <c r="L1419" s="103"/>
      <c r="M1419" s="104"/>
      <c r="N1419" s="105"/>
      <c r="O1419" s="98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</row>
    <row r="1420" spans="1:27" x14ac:dyDescent="0.25">
      <c r="A1420" s="88"/>
      <c r="B1420" s="30"/>
      <c r="C1420" s="30"/>
      <c r="D1420" s="30"/>
      <c r="E1420" s="30"/>
      <c r="F1420" s="88"/>
      <c r="G1420" s="88"/>
      <c r="H1420" s="30"/>
      <c r="I1420" s="96"/>
      <c r="J1420" s="97"/>
      <c r="K1420" s="102"/>
      <c r="L1420" s="103"/>
      <c r="M1420" s="104"/>
      <c r="N1420" s="105"/>
      <c r="O1420" s="98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</row>
    <row r="1421" spans="1:27" x14ac:dyDescent="0.25">
      <c r="A1421" s="88"/>
      <c r="B1421" s="30"/>
      <c r="C1421" s="30"/>
      <c r="D1421" s="30"/>
      <c r="E1421" s="30"/>
      <c r="F1421" s="88"/>
      <c r="G1421" s="88"/>
      <c r="H1421" s="30"/>
      <c r="I1421" s="96"/>
      <c r="J1421" s="97"/>
      <c r="K1421" s="102"/>
      <c r="L1421" s="103"/>
      <c r="M1421" s="104"/>
      <c r="N1421" s="105"/>
      <c r="O1421" s="98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</row>
    <row r="1422" spans="1:27" x14ac:dyDescent="0.25">
      <c r="A1422" s="88"/>
      <c r="B1422" s="30"/>
      <c r="C1422" s="30"/>
      <c r="D1422" s="30"/>
      <c r="E1422" s="30"/>
      <c r="F1422" s="88"/>
      <c r="G1422" s="88"/>
      <c r="H1422" s="30"/>
      <c r="I1422" s="96"/>
      <c r="J1422" s="97"/>
      <c r="K1422" s="102"/>
      <c r="L1422" s="103"/>
      <c r="M1422" s="104"/>
      <c r="N1422" s="105"/>
      <c r="O1422" s="98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</row>
    <row r="1423" spans="1:27" x14ac:dyDescent="0.25">
      <c r="A1423" s="88"/>
      <c r="B1423" s="30"/>
      <c r="C1423" s="30"/>
      <c r="D1423" s="30"/>
      <c r="E1423" s="30"/>
      <c r="F1423" s="88"/>
      <c r="G1423" s="88"/>
      <c r="H1423" s="30"/>
      <c r="I1423" s="96"/>
      <c r="J1423" s="97"/>
      <c r="K1423" s="102"/>
      <c r="L1423" s="103"/>
      <c r="M1423" s="104"/>
      <c r="N1423" s="105"/>
      <c r="O1423" s="98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</row>
    <row r="1424" spans="1:27" x14ac:dyDescent="0.25">
      <c r="A1424" s="88"/>
      <c r="B1424" s="30"/>
      <c r="C1424" s="30"/>
      <c r="D1424" s="30"/>
      <c r="E1424" s="30"/>
      <c r="F1424" s="88"/>
      <c r="G1424" s="88"/>
      <c r="H1424" s="30"/>
      <c r="I1424" s="96"/>
      <c r="J1424" s="97"/>
      <c r="K1424" s="102"/>
      <c r="L1424" s="103"/>
      <c r="M1424" s="104"/>
      <c r="N1424" s="105"/>
      <c r="O1424" s="98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</row>
    <row r="1425" spans="1:27" x14ac:dyDescent="0.25">
      <c r="A1425" s="88"/>
      <c r="B1425" s="30"/>
      <c r="C1425" s="30"/>
      <c r="D1425" s="30"/>
      <c r="E1425" s="30"/>
      <c r="F1425" s="88"/>
      <c r="G1425" s="88"/>
      <c r="H1425" s="30"/>
      <c r="I1425" s="96"/>
      <c r="J1425" s="97"/>
      <c r="K1425" s="102"/>
      <c r="L1425" s="103"/>
      <c r="M1425" s="104"/>
      <c r="N1425" s="105"/>
      <c r="O1425" s="98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</row>
    <row r="1426" spans="1:27" x14ac:dyDescent="0.25">
      <c r="A1426" s="88"/>
      <c r="B1426" s="30"/>
      <c r="C1426" s="30"/>
      <c r="D1426" s="30"/>
      <c r="E1426" s="30"/>
      <c r="F1426" s="88"/>
      <c r="G1426" s="88"/>
      <c r="H1426" s="30"/>
      <c r="I1426" s="96"/>
      <c r="J1426" s="97"/>
      <c r="K1426" s="102"/>
      <c r="L1426" s="103"/>
      <c r="M1426" s="104"/>
      <c r="N1426" s="105"/>
      <c r="O1426" s="98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</row>
    <row r="1427" spans="1:27" x14ac:dyDescent="0.25">
      <c r="A1427" s="88"/>
      <c r="B1427" s="30"/>
      <c r="C1427" s="30"/>
      <c r="D1427" s="30"/>
      <c r="E1427" s="30"/>
      <c r="F1427" s="88"/>
      <c r="G1427" s="88"/>
      <c r="H1427" s="30"/>
      <c r="I1427" s="96"/>
      <c r="J1427" s="97"/>
      <c r="K1427" s="102"/>
      <c r="L1427" s="103"/>
      <c r="M1427" s="104"/>
      <c r="N1427" s="105"/>
      <c r="O1427" s="98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</row>
    <row r="1428" spans="1:27" x14ac:dyDescent="0.25">
      <c r="A1428" s="88"/>
      <c r="B1428" s="30"/>
      <c r="C1428" s="30"/>
      <c r="D1428" s="30"/>
      <c r="E1428" s="30"/>
      <c r="F1428" s="88"/>
      <c r="G1428" s="88"/>
      <c r="H1428" s="30"/>
      <c r="I1428" s="96"/>
      <c r="J1428" s="97"/>
      <c r="K1428" s="102"/>
      <c r="L1428" s="103"/>
      <c r="M1428" s="104"/>
      <c r="N1428" s="105"/>
      <c r="O1428" s="98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</row>
    <row r="1429" spans="1:27" x14ac:dyDescent="0.25">
      <c r="A1429" s="88"/>
      <c r="B1429" s="30"/>
      <c r="C1429" s="30"/>
      <c r="D1429" s="30"/>
      <c r="E1429" s="30"/>
      <c r="F1429" s="88"/>
      <c r="G1429" s="88"/>
      <c r="H1429" s="30"/>
      <c r="I1429" s="96"/>
      <c r="J1429" s="97"/>
      <c r="K1429" s="102"/>
      <c r="L1429" s="103"/>
      <c r="M1429" s="104"/>
      <c r="N1429" s="105"/>
      <c r="O1429" s="98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</row>
    <row r="1430" spans="1:27" x14ac:dyDescent="0.25">
      <c r="A1430" s="88"/>
      <c r="B1430" s="30"/>
      <c r="C1430" s="30"/>
      <c r="D1430" s="30"/>
      <c r="E1430" s="30"/>
      <c r="F1430" s="88"/>
      <c r="G1430" s="88"/>
      <c r="H1430" s="30"/>
      <c r="I1430" s="96"/>
      <c r="J1430" s="97"/>
      <c r="K1430" s="102"/>
      <c r="L1430" s="103"/>
      <c r="M1430" s="104"/>
      <c r="N1430" s="105"/>
      <c r="O1430" s="98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</row>
    <row r="1431" spans="1:27" x14ac:dyDescent="0.25">
      <c r="A1431" s="88"/>
      <c r="B1431" s="30"/>
      <c r="C1431" s="30"/>
      <c r="D1431" s="30"/>
      <c r="E1431" s="30"/>
      <c r="F1431" s="88"/>
      <c r="G1431" s="88"/>
      <c r="H1431" s="30"/>
      <c r="I1431" s="96"/>
      <c r="J1431" s="97"/>
      <c r="K1431" s="102"/>
      <c r="L1431" s="103"/>
      <c r="M1431" s="104"/>
      <c r="N1431" s="105"/>
      <c r="O1431" s="98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</row>
    <row r="1432" spans="1:27" x14ac:dyDescent="0.25">
      <c r="A1432" s="88"/>
      <c r="B1432" s="30"/>
      <c r="C1432" s="30"/>
      <c r="D1432" s="30"/>
      <c r="E1432" s="30"/>
      <c r="F1432" s="88"/>
      <c r="G1432" s="88"/>
      <c r="H1432" s="30"/>
      <c r="I1432" s="96"/>
      <c r="J1432" s="97"/>
      <c r="K1432" s="102"/>
      <c r="L1432" s="103"/>
      <c r="M1432" s="104"/>
      <c r="N1432" s="105"/>
      <c r="O1432" s="98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</row>
    <row r="1433" spans="1:27" x14ac:dyDescent="0.25">
      <c r="A1433" s="88"/>
      <c r="B1433" s="30"/>
      <c r="C1433" s="30"/>
      <c r="D1433" s="30"/>
      <c r="E1433" s="30"/>
      <c r="F1433" s="88"/>
      <c r="G1433" s="88"/>
      <c r="H1433" s="30"/>
      <c r="I1433" s="96"/>
      <c r="J1433" s="97"/>
      <c r="K1433" s="102"/>
      <c r="L1433" s="103"/>
      <c r="M1433" s="104"/>
      <c r="N1433" s="105"/>
      <c r="O1433" s="98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</row>
    <row r="1434" spans="1:27" x14ac:dyDescent="0.25">
      <c r="A1434" s="88"/>
      <c r="B1434" s="30"/>
      <c r="C1434" s="30"/>
      <c r="D1434" s="30"/>
      <c r="E1434" s="30"/>
      <c r="F1434" s="88"/>
      <c r="G1434" s="88"/>
      <c r="H1434" s="30"/>
      <c r="I1434" s="96"/>
      <c r="J1434" s="97"/>
      <c r="K1434" s="102"/>
      <c r="L1434" s="103"/>
      <c r="M1434" s="104"/>
      <c r="N1434" s="105"/>
      <c r="O1434" s="98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</row>
    <row r="1435" spans="1:27" x14ac:dyDescent="0.25">
      <c r="A1435" s="88"/>
      <c r="B1435" s="30"/>
      <c r="C1435" s="30"/>
      <c r="D1435" s="30"/>
      <c r="E1435" s="30"/>
      <c r="F1435" s="88"/>
      <c r="G1435" s="88"/>
      <c r="H1435" s="30"/>
      <c r="I1435" s="96"/>
      <c r="J1435" s="97"/>
      <c r="K1435" s="102"/>
      <c r="L1435" s="103"/>
      <c r="M1435" s="104"/>
      <c r="N1435" s="105"/>
      <c r="O1435" s="98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</row>
    <row r="1436" spans="1:27" x14ac:dyDescent="0.25">
      <c r="A1436" s="88"/>
      <c r="B1436" s="30"/>
      <c r="C1436" s="30"/>
      <c r="D1436" s="30"/>
      <c r="E1436" s="30"/>
      <c r="F1436" s="88"/>
      <c r="G1436" s="88"/>
      <c r="H1436" s="30"/>
      <c r="I1436" s="96"/>
      <c r="J1436" s="97"/>
      <c r="K1436" s="102"/>
      <c r="L1436" s="103"/>
      <c r="M1436" s="104"/>
      <c r="N1436" s="105"/>
      <c r="O1436" s="98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</row>
    <row r="1437" spans="1:27" x14ac:dyDescent="0.25">
      <c r="A1437" s="88"/>
      <c r="B1437" s="30"/>
      <c r="C1437" s="30"/>
      <c r="D1437" s="30"/>
      <c r="E1437" s="30"/>
      <c r="F1437" s="88"/>
      <c r="G1437" s="88"/>
      <c r="H1437" s="30"/>
      <c r="I1437" s="96"/>
      <c r="J1437" s="97"/>
      <c r="K1437" s="102"/>
      <c r="L1437" s="103"/>
      <c r="M1437" s="104"/>
      <c r="N1437" s="105"/>
      <c r="O1437" s="98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</row>
    <row r="1438" spans="1:27" x14ac:dyDescent="0.25">
      <c r="A1438" s="88"/>
      <c r="B1438" s="30"/>
      <c r="C1438" s="30"/>
      <c r="D1438" s="30"/>
      <c r="E1438" s="30"/>
      <c r="F1438" s="88"/>
      <c r="G1438" s="88"/>
      <c r="H1438" s="30"/>
      <c r="I1438" s="96"/>
      <c r="J1438" s="97"/>
      <c r="K1438" s="102"/>
      <c r="L1438" s="103"/>
      <c r="M1438" s="104"/>
      <c r="N1438" s="105"/>
      <c r="O1438" s="98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</row>
    <row r="1439" spans="1:27" x14ac:dyDescent="0.25">
      <c r="A1439" s="88"/>
      <c r="B1439" s="30"/>
      <c r="C1439" s="30"/>
      <c r="D1439" s="30"/>
      <c r="E1439" s="30"/>
      <c r="F1439" s="88"/>
      <c r="G1439" s="88"/>
      <c r="H1439" s="30"/>
      <c r="I1439" s="96"/>
      <c r="J1439" s="97"/>
      <c r="K1439" s="102"/>
      <c r="L1439" s="103"/>
      <c r="M1439" s="104"/>
      <c r="N1439" s="105"/>
      <c r="O1439" s="98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</row>
    <row r="1440" spans="1:27" x14ac:dyDescent="0.25">
      <c r="A1440" s="88"/>
      <c r="B1440" s="30"/>
      <c r="C1440" s="30"/>
      <c r="D1440" s="30"/>
      <c r="E1440" s="30"/>
      <c r="F1440" s="88"/>
      <c r="G1440" s="88"/>
      <c r="H1440" s="30"/>
      <c r="I1440" s="96"/>
      <c r="J1440" s="97"/>
      <c r="K1440" s="102"/>
      <c r="L1440" s="103"/>
      <c r="M1440" s="104"/>
      <c r="N1440" s="105"/>
      <c r="O1440" s="98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</row>
    <row r="1441" spans="1:27" x14ac:dyDescent="0.25">
      <c r="A1441" s="88"/>
      <c r="B1441" s="30"/>
      <c r="C1441" s="30"/>
      <c r="D1441" s="30"/>
      <c r="E1441" s="30"/>
      <c r="F1441" s="88"/>
      <c r="G1441" s="88"/>
      <c r="H1441" s="30"/>
      <c r="I1441" s="96"/>
      <c r="J1441" s="97"/>
      <c r="K1441" s="102"/>
      <c r="L1441" s="103"/>
      <c r="M1441" s="104"/>
      <c r="N1441" s="105"/>
      <c r="O1441" s="98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</row>
    <row r="1442" spans="1:27" x14ac:dyDescent="0.25">
      <c r="A1442" s="88"/>
      <c r="B1442" s="30"/>
      <c r="C1442" s="30"/>
      <c r="D1442" s="30"/>
      <c r="E1442" s="30"/>
      <c r="F1442" s="88"/>
      <c r="G1442" s="88"/>
      <c r="H1442" s="30"/>
      <c r="I1442" s="96"/>
      <c r="J1442" s="97"/>
      <c r="K1442" s="102"/>
      <c r="L1442" s="103"/>
      <c r="M1442" s="104"/>
      <c r="N1442" s="105"/>
      <c r="O1442" s="98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</row>
    <row r="1443" spans="1:27" x14ac:dyDescent="0.25">
      <c r="A1443" s="88"/>
      <c r="B1443" s="30"/>
      <c r="C1443" s="30"/>
      <c r="D1443" s="30"/>
      <c r="E1443" s="30"/>
      <c r="F1443" s="88"/>
      <c r="G1443" s="88"/>
      <c r="H1443" s="30"/>
      <c r="I1443" s="96"/>
      <c r="J1443" s="97"/>
      <c r="K1443" s="102"/>
      <c r="L1443" s="103"/>
      <c r="M1443" s="104"/>
      <c r="N1443" s="105"/>
      <c r="O1443" s="98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</row>
    <row r="1444" spans="1:27" x14ac:dyDescent="0.25">
      <c r="A1444" s="88"/>
      <c r="B1444" s="30"/>
      <c r="C1444" s="30"/>
      <c r="D1444" s="30"/>
      <c r="E1444" s="30"/>
      <c r="F1444" s="88"/>
      <c r="G1444" s="88"/>
      <c r="H1444" s="30"/>
      <c r="I1444" s="96"/>
      <c r="J1444" s="97"/>
      <c r="K1444" s="102"/>
      <c r="L1444" s="103"/>
      <c r="M1444" s="104"/>
      <c r="N1444" s="105"/>
      <c r="O1444" s="98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</row>
    <row r="1445" spans="1:27" x14ac:dyDescent="0.25">
      <c r="A1445" s="88"/>
      <c r="B1445" s="30"/>
      <c r="C1445" s="30"/>
      <c r="D1445" s="30"/>
      <c r="E1445" s="30"/>
      <c r="F1445" s="88"/>
      <c r="G1445" s="88"/>
      <c r="H1445" s="30"/>
      <c r="I1445" s="96"/>
      <c r="J1445" s="97"/>
      <c r="K1445" s="102"/>
      <c r="L1445" s="103"/>
      <c r="M1445" s="104"/>
      <c r="N1445" s="105"/>
      <c r="O1445" s="98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</row>
    <row r="1446" spans="1:27" x14ac:dyDescent="0.25">
      <c r="A1446" s="88"/>
      <c r="B1446" s="30"/>
      <c r="C1446" s="30"/>
      <c r="D1446" s="30"/>
      <c r="E1446" s="30"/>
      <c r="F1446" s="88"/>
      <c r="G1446" s="88"/>
      <c r="H1446" s="30"/>
      <c r="I1446" s="96"/>
      <c r="J1446" s="97"/>
      <c r="K1446" s="102"/>
      <c r="L1446" s="103"/>
      <c r="M1446" s="104"/>
      <c r="N1446" s="105"/>
      <c r="O1446" s="98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</row>
    <row r="1447" spans="1:27" x14ac:dyDescent="0.25">
      <c r="A1447" s="88"/>
      <c r="B1447" s="30"/>
      <c r="C1447" s="30"/>
      <c r="D1447" s="30"/>
      <c r="E1447" s="30"/>
      <c r="F1447" s="88"/>
      <c r="G1447" s="88"/>
      <c r="H1447" s="30"/>
      <c r="I1447" s="96"/>
      <c r="J1447" s="97"/>
      <c r="K1447" s="102"/>
      <c r="L1447" s="103"/>
      <c r="M1447" s="104"/>
      <c r="N1447" s="105"/>
      <c r="O1447" s="98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</row>
    <row r="1448" spans="1:27" x14ac:dyDescent="0.25">
      <c r="A1448" s="88"/>
      <c r="B1448" s="30"/>
      <c r="C1448" s="30"/>
      <c r="D1448" s="30"/>
      <c r="E1448" s="30"/>
      <c r="F1448" s="88"/>
      <c r="G1448" s="88"/>
      <c r="H1448" s="30"/>
      <c r="I1448" s="96"/>
      <c r="J1448" s="97"/>
      <c r="K1448" s="102"/>
      <c r="L1448" s="103"/>
      <c r="M1448" s="104"/>
      <c r="N1448" s="105"/>
      <c r="O1448" s="98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</row>
    <row r="1449" spans="1:27" x14ac:dyDescent="0.25">
      <c r="A1449" s="88"/>
      <c r="B1449" s="30"/>
      <c r="C1449" s="30"/>
      <c r="D1449" s="30"/>
      <c r="E1449" s="30"/>
      <c r="F1449" s="88"/>
      <c r="G1449" s="88"/>
      <c r="H1449" s="30"/>
      <c r="I1449" s="96"/>
      <c r="J1449" s="97"/>
      <c r="K1449" s="102"/>
      <c r="L1449" s="103"/>
      <c r="M1449" s="104"/>
      <c r="N1449" s="105"/>
      <c r="O1449" s="98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</row>
    <row r="1450" spans="1:27" x14ac:dyDescent="0.25">
      <c r="A1450" s="88"/>
      <c r="B1450" s="30"/>
      <c r="C1450" s="30"/>
      <c r="D1450" s="30"/>
      <c r="E1450" s="30"/>
      <c r="F1450" s="88"/>
      <c r="G1450" s="88"/>
      <c r="H1450" s="30"/>
      <c r="I1450" s="96"/>
      <c r="J1450" s="97"/>
      <c r="K1450" s="102"/>
      <c r="L1450" s="103"/>
      <c r="M1450" s="104"/>
      <c r="N1450" s="105"/>
      <c r="O1450" s="98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</row>
    <row r="1451" spans="1:27" x14ac:dyDescent="0.25">
      <c r="A1451" s="88"/>
      <c r="B1451" s="30"/>
      <c r="C1451" s="30"/>
      <c r="D1451" s="30"/>
      <c r="E1451" s="30"/>
      <c r="F1451" s="88"/>
      <c r="G1451" s="88"/>
      <c r="H1451" s="30"/>
      <c r="I1451" s="96"/>
      <c r="J1451" s="97"/>
      <c r="K1451" s="102"/>
      <c r="L1451" s="103"/>
      <c r="M1451" s="104"/>
      <c r="N1451" s="105"/>
      <c r="O1451" s="98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</row>
    <row r="1452" spans="1:27" x14ac:dyDescent="0.25">
      <c r="A1452" s="88"/>
      <c r="B1452" s="30"/>
      <c r="C1452" s="30"/>
      <c r="D1452" s="30"/>
      <c r="E1452" s="30"/>
      <c r="F1452" s="88"/>
      <c r="G1452" s="88"/>
      <c r="H1452" s="30"/>
      <c r="I1452" s="96"/>
      <c r="J1452" s="97"/>
      <c r="K1452" s="102"/>
      <c r="L1452" s="103"/>
      <c r="M1452" s="104"/>
      <c r="N1452" s="105"/>
      <c r="O1452" s="98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</row>
    <row r="1453" spans="1:27" x14ac:dyDescent="0.25">
      <c r="A1453" s="88"/>
      <c r="B1453" s="30"/>
      <c r="C1453" s="30"/>
      <c r="D1453" s="30"/>
      <c r="E1453" s="30"/>
      <c r="F1453" s="88"/>
      <c r="G1453" s="88"/>
      <c r="H1453" s="30"/>
      <c r="I1453" s="96"/>
      <c r="J1453" s="97"/>
      <c r="K1453" s="102"/>
      <c r="L1453" s="103"/>
      <c r="M1453" s="104"/>
      <c r="N1453" s="105"/>
      <c r="O1453" s="98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</row>
    <row r="1454" spans="1:27" x14ac:dyDescent="0.25">
      <c r="A1454" s="88"/>
      <c r="B1454" s="30"/>
      <c r="C1454" s="30"/>
      <c r="D1454" s="30"/>
      <c r="E1454" s="30"/>
      <c r="F1454" s="88"/>
      <c r="G1454" s="88"/>
      <c r="H1454" s="30"/>
      <c r="I1454" s="96"/>
      <c r="J1454" s="97"/>
      <c r="K1454" s="102"/>
      <c r="L1454" s="103"/>
      <c r="M1454" s="104"/>
      <c r="N1454" s="105"/>
      <c r="O1454" s="98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</row>
    <row r="1455" spans="1:27" x14ac:dyDescent="0.25">
      <c r="A1455" s="88"/>
      <c r="B1455" s="30"/>
      <c r="C1455" s="30"/>
      <c r="D1455" s="30"/>
      <c r="E1455" s="30"/>
      <c r="F1455" s="88"/>
      <c r="G1455" s="88"/>
      <c r="H1455" s="30"/>
      <c r="I1455" s="96"/>
      <c r="J1455" s="97"/>
      <c r="K1455" s="102"/>
      <c r="L1455" s="103"/>
      <c r="M1455" s="104"/>
      <c r="N1455" s="105"/>
      <c r="O1455" s="98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</row>
    <row r="1456" spans="1:27" x14ac:dyDescent="0.25">
      <c r="A1456" s="88"/>
      <c r="B1456" s="30"/>
      <c r="C1456" s="30"/>
      <c r="D1456" s="30"/>
      <c r="E1456" s="30"/>
      <c r="F1456" s="88"/>
      <c r="G1456" s="88"/>
      <c r="H1456" s="30"/>
      <c r="I1456" s="96"/>
      <c r="J1456" s="97"/>
      <c r="K1456" s="102"/>
      <c r="L1456" s="103"/>
      <c r="M1456" s="104"/>
      <c r="N1456" s="105"/>
      <c r="O1456" s="98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</row>
    <row r="1457" spans="1:27" x14ac:dyDescent="0.25">
      <c r="A1457" s="88"/>
      <c r="B1457" s="30"/>
      <c r="C1457" s="30"/>
      <c r="D1457" s="30"/>
      <c r="E1457" s="30"/>
      <c r="F1457" s="88"/>
      <c r="G1457" s="88"/>
      <c r="H1457" s="30"/>
      <c r="I1457" s="96"/>
      <c r="J1457" s="97"/>
      <c r="K1457" s="102"/>
      <c r="L1457" s="103"/>
      <c r="M1457" s="104"/>
      <c r="N1457" s="105"/>
      <c r="O1457" s="98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</row>
    <row r="1458" spans="1:27" x14ac:dyDescent="0.25">
      <c r="A1458" s="88"/>
      <c r="B1458" s="30"/>
      <c r="C1458" s="30"/>
      <c r="D1458" s="30"/>
      <c r="E1458" s="30"/>
      <c r="F1458" s="88"/>
      <c r="G1458" s="88"/>
      <c r="H1458" s="30"/>
      <c r="I1458" s="96"/>
      <c r="J1458" s="97"/>
      <c r="K1458" s="102"/>
      <c r="L1458" s="103"/>
      <c r="M1458" s="104"/>
      <c r="N1458" s="105"/>
      <c r="O1458" s="98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</row>
    <row r="1459" spans="1:27" x14ac:dyDescent="0.25">
      <c r="A1459" s="88"/>
      <c r="B1459" s="30"/>
      <c r="C1459" s="30"/>
      <c r="D1459" s="30"/>
      <c r="E1459" s="30"/>
      <c r="F1459" s="88"/>
      <c r="G1459" s="88"/>
      <c r="H1459" s="30"/>
      <c r="I1459" s="96"/>
      <c r="J1459" s="97"/>
      <c r="K1459" s="102"/>
      <c r="L1459" s="103"/>
      <c r="M1459" s="104"/>
      <c r="N1459" s="105"/>
      <c r="O1459" s="98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</row>
    <row r="1460" spans="1:27" x14ac:dyDescent="0.25">
      <c r="A1460" s="88"/>
      <c r="B1460" s="30"/>
      <c r="C1460" s="30"/>
      <c r="D1460" s="30"/>
      <c r="E1460" s="30"/>
      <c r="F1460" s="88"/>
      <c r="G1460" s="88"/>
      <c r="H1460" s="30"/>
      <c r="I1460" s="96"/>
      <c r="J1460" s="97"/>
      <c r="K1460" s="102"/>
      <c r="L1460" s="103"/>
      <c r="M1460" s="104"/>
      <c r="N1460" s="105"/>
      <c r="O1460" s="98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</row>
    <row r="1461" spans="1:27" x14ac:dyDescent="0.25">
      <c r="A1461" s="88"/>
      <c r="B1461" s="30"/>
      <c r="C1461" s="30"/>
      <c r="D1461" s="30"/>
      <c r="E1461" s="30"/>
      <c r="F1461" s="88"/>
      <c r="G1461" s="88"/>
      <c r="H1461" s="30"/>
      <c r="I1461" s="96"/>
      <c r="J1461" s="97"/>
      <c r="K1461" s="102"/>
      <c r="L1461" s="103"/>
      <c r="M1461" s="104"/>
      <c r="N1461" s="105"/>
      <c r="O1461" s="98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</row>
    <row r="1462" spans="1:27" x14ac:dyDescent="0.25">
      <c r="A1462" s="88"/>
      <c r="B1462" s="30"/>
      <c r="C1462" s="30"/>
      <c r="D1462" s="30"/>
      <c r="E1462" s="30"/>
      <c r="F1462" s="88"/>
      <c r="G1462" s="88"/>
      <c r="H1462" s="30"/>
      <c r="I1462" s="96"/>
      <c r="J1462" s="97"/>
      <c r="K1462" s="102"/>
      <c r="L1462" s="103"/>
      <c r="M1462" s="104"/>
      <c r="N1462" s="105"/>
      <c r="O1462" s="98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</row>
    <row r="1463" spans="1:27" x14ac:dyDescent="0.25">
      <c r="A1463" s="88"/>
      <c r="B1463" s="30"/>
      <c r="C1463" s="30"/>
      <c r="D1463" s="30"/>
      <c r="E1463" s="30"/>
      <c r="F1463" s="88"/>
      <c r="G1463" s="88"/>
      <c r="H1463" s="30"/>
      <c r="I1463" s="96"/>
      <c r="J1463" s="97"/>
      <c r="K1463" s="102"/>
      <c r="L1463" s="103"/>
      <c r="M1463" s="104"/>
      <c r="N1463" s="105"/>
      <c r="O1463" s="98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</row>
    <row r="1464" spans="1:27" x14ac:dyDescent="0.25">
      <c r="A1464" s="88"/>
      <c r="B1464" s="30"/>
      <c r="C1464" s="30"/>
      <c r="D1464" s="30"/>
      <c r="E1464" s="30"/>
      <c r="F1464" s="88"/>
      <c r="G1464" s="88"/>
      <c r="H1464" s="30"/>
      <c r="I1464" s="96"/>
      <c r="J1464" s="97"/>
      <c r="K1464" s="102"/>
      <c r="L1464" s="103"/>
      <c r="M1464" s="104"/>
      <c r="N1464" s="105"/>
      <c r="O1464" s="98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</row>
    <row r="1465" spans="1:27" x14ac:dyDescent="0.25">
      <c r="A1465" s="88"/>
      <c r="B1465" s="30"/>
      <c r="C1465" s="30"/>
      <c r="D1465" s="30"/>
      <c r="E1465" s="30"/>
      <c r="F1465" s="88"/>
      <c r="G1465" s="88"/>
      <c r="H1465" s="30"/>
      <c r="I1465" s="96"/>
      <c r="J1465" s="97"/>
      <c r="K1465" s="102"/>
      <c r="L1465" s="103"/>
      <c r="M1465" s="104"/>
      <c r="N1465" s="105"/>
      <c r="O1465" s="98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</row>
    <row r="1466" spans="1:27" x14ac:dyDescent="0.25">
      <c r="A1466" s="88"/>
      <c r="B1466" s="30"/>
      <c r="C1466" s="30"/>
      <c r="D1466" s="30"/>
      <c r="E1466" s="30"/>
      <c r="F1466" s="88"/>
      <c r="G1466" s="88"/>
      <c r="H1466" s="30"/>
      <c r="I1466" s="96"/>
      <c r="J1466" s="97"/>
      <c r="K1466" s="102"/>
      <c r="L1466" s="103"/>
      <c r="M1466" s="104"/>
      <c r="N1466" s="105"/>
      <c r="O1466" s="98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</row>
    <row r="1467" spans="1:27" x14ac:dyDescent="0.25">
      <c r="A1467" s="88"/>
      <c r="B1467" s="30"/>
      <c r="C1467" s="30"/>
      <c r="D1467" s="30"/>
      <c r="E1467" s="30"/>
      <c r="F1467" s="88"/>
      <c r="G1467" s="88"/>
      <c r="H1467" s="30"/>
      <c r="I1467" s="96"/>
      <c r="J1467" s="97"/>
      <c r="K1467" s="102"/>
      <c r="L1467" s="103"/>
      <c r="M1467" s="104"/>
      <c r="N1467" s="105"/>
      <c r="O1467" s="98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</row>
    <row r="1468" spans="1:27" x14ac:dyDescent="0.25">
      <c r="A1468" s="88"/>
      <c r="B1468" s="30"/>
      <c r="C1468" s="30"/>
      <c r="D1468" s="30"/>
      <c r="E1468" s="30"/>
      <c r="F1468" s="88"/>
      <c r="G1468" s="88"/>
      <c r="H1468" s="30"/>
      <c r="I1468" s="96"/>
      <c r="J1468" s="97"/>
      <c r="K1468" s="102"/>
      <c r="L1468" s="103"/>
      <c r="M1468" s="104"/>
      <c r="N1468" s="105"/>
      <c r="O1468" s="98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</row>
    <row r="1469" spans="1:27" x14ac:dyDescent="0.25">
      <c r="A1469" s="88"/>
      <c r="B1469" s="30"/>
      <c r="C1469" s="30"/>
      <c r="D1469" s="30"/>
      <c r="E1469" s="30"/>
      <c r="F1469" s="88"/>
      <c r="G1469" s="88"/>
      <c r="H1469" s="30"/>
      <c r="I1469" s="96"/>
      <c r="J1469" s="97"/>
      <c r="K1469" s="102"/>
      <c r="L1469" s="103"/>
      <c r="M1469" s="104"/>
      <c r="N1469" s="105"/>
      <c r="O1469" s="98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</row>
    <row r="1470" spans="1:27" x14ac:dyDescent="0.25">
      <c r="A1470" s="88"/>
      <c r="B1470" s="30"/>
      <c r="C1470" s="30"/>
      <c r="D1470" s="30"/>
      <c r="E1470" s="30"/>
      <c r="F1470" s="88"/>
      <c r="G1470" s="88"/>
      <c r="H1470" s="30"/>
      <c r="I1470" s="96"/>
      <c r="J1470" s="97"/>
      <c r="K1470" s="102"/>
      <c r="L1470" s="103"/>
      <c r="M1470" s="104"/>
      <c r="N1470" s="105"/>
      <c r="O1470" s="98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</row>
    <row r="1471" spans="1:27" x14ac:dyDescent="0.25">
      <c r="A1471" s="88"/>
      <c r="B1471" s="30"/>
      <c r="C1471" s="30"/>
      <c r="D1471" s="30"/>
      <c r="E1471" s="30"/>
      <c r="F1471" s="88"/>
      <c r="G1471" s="88"/>
      <c r="H1471" s="30"/>
      <c r="I1471" s="96"/>
      <c r="J1471" s="97"/>
      <c r="K1471" s="102"/>
      <c r="L1471" s="103"/>
      <c r="M1471" s="104"/>
      <c r="N1471" s="105"/>
      <c r="O1471" s="98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</row>
    <row r="1472" spans="1:27" x14ac:dyDescent="0.25">
      <c r="A1472" s="88"/>
      <c r="B1472" s="30"/>
      <c r="C1472" s="30"/>
      <c r="D1472" s="30"/>
      <c r="E1472" s="30"/>
      <c r="F1472" s="88"/>
      <c r="G1472" s="88"/>
      <c r="H1472" s="30"/>
      <c r="I1472" s="96"/>
      <c r="J1472" s="97"/>
      <c r="K1472" s="102"/>
      <c r="L1472" s="103"/>
      <c r="M1472" s="104"/>
      <c r="N1472" s="105"/>
      <c r="O1472" s="98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</row>
    <row r="1473" spans="1:27" x14ac:dyDescent="0.25">
      <c r="A1473" s="88"/>
      <c r="B1473" s="30"/>
      <c r="C1473" s="30"/>
      <c r="D1473" s="30"/>
      <c r="E1473" s="30"/>
      <c r="F1473" s="88"/>
      <c r="G1473" s="88"/>
      <c r="H1473" s="30"/>
      <c r="I1473" s="96"/>
      <c r="J1473" s="97"/>
      <c r="K1473" s="102"/>
      <c r="L1473" s="103"/>
      <c r="M1473" s="104"/>
      <c r="N1473" s="105"/>
      <c r="O1473" s="98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</row>
    <row r="1474" spans="1:27" x14ac:dyDescent="0.25">
      <c r="A1474" s="88"/>
      <c r="B1474" s="30"/>
      <c r="C1474" s="30"/>
      <c r="D1474" s="30"/>
      <c r="E1474" s="30"/>
      <c r="F1474" s="88"/>
      <c r="G1474" s="88"/>
      <c r="H1474" s="30"/>
      <c r="I1474" s="96"/>
      <c r="J1474" s="97"/>
      <c r="K1474" s="102"/>
      <c r="L1474" s="103"/>
      <c r="M1474" s="104"/>
      <c r="N1474" s="105"/>
      <c r="O1474" s="98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</row>
    <row r="1475" spans="1:27" x14ac:dyDescent="0.25">
      <c r="A1475" s="88"/>
      <c r="B1475" s="30"/>
      <c r="C1475" s="30"/>
      <c r="D1475" s="30"/>
      <c r="E1475" s="30"/>
      <c r="F1475" s="88"/>
      <c r="G1475" s="88"/>
      <c r="H1475" s="30"/>
      <c r="I1475" s="96"/>
      <c r="J1475" s="97"/>
      <c r="K1475" s="102"/>
      <c r="L1475" s="103"/>
      <c r="M1475" s="104"/>
      <c r="N1475" s="105"/>
      <c r="O1475" s="98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</row>
    <row r="1476" spans="1:27" x14ac:dyDescent="0.25">
      <c r="A1476" s="88"/>
      <c r="B1476" s="30"/>
      <c r="C1476" s="30"/>
      <c r="D1476" s="30"/>
      <c r="E1476" s="30"/>
      <c r="F1476" s="88"/>
      <c r="G1476" s="88"/>
      <c r="H1476" s="30"/>
      <c r="I1476" s="96"/>
      <c r="J1476" s="97"/>
      <c r="K1476" s="102"/>
      <c r="L1476" s="103"/>
      <c r="M1476" s="104"/>
      <c r="N1476" s="105"/>
      <c r="O1476" s="98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</row>
    <row r="1477" spans="1:27" x14ac:dyDescent="0.25">
      <c r="A1477" s="88"/>
      <c r="B1477" s="30"/>
      <c r="C1477" s="30"/>
      <c r="D1477" s="30"/>
      <c r="E1477" s="30"/>
      <c r="F1477" s="88"/>
      <c r="G1477" s="88"/>
      <c r="H1477" s="30"/>
      <c r="I1477" s="96"/>
      <c r="J1477" s="97"/>
      <c r="K1477" s="102"/>
      <c r="L1477" s="103"/>
      <c r="M1477" s="104"/>
      <c r="N1477" s="105"/>
      <c r="O1477" s="98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</row>
    <row r="1478" spans="1:27" x14ac:dyDescent="0.25">
      <c r="A1478" s="88"/>
      <c r="B1478" s="30"/>
      <c r="C1478" s="30"/>
      <c r="D1478" s="30"/>
      <c r="E1478" s="30"/>
      <c r="F1478" s="88"/>
      <c r="G1478" s="88"/>
      <c r="H1478" s="30"/>
      <c r="I1478" s="96"/>
      <c r="J1478" s="97"/>
      <c r="K1478" s="102"/>
      <c r="L1478" s="103"/>
      <c r="M1478" s="104"/>
      <c r="N1478" s="105"/>
      <c r="O1478" s="98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</row>
    <row r="1479" spans="1:27" x14ac:dyDescent="0.25">
      <c r="A1479" s="88"/>
      <c r="B1479" s="30"/>
      <c r="C1479" s="30"/>
      <c r="D1479" s="30"/>
      <c r="E1479" s="30"/>
      <c r="F1479" s="88"/>
      <c r="G1479" s="88"/>
      <c r="H1479" s="30"/>
      <c r="I1479" s="96"/>
      <c r="J1479" s="97"/>
      <c r="K1479" s="102"/>
      <c r="L1479" s="103"/>
      <c r="M1479" s="104"/>
      <c r="N1479" s="105"/>
      <c r="O1479" s="98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</row>
    <row r="1480" spans="1:27" x14ac:dyDescent="0.25">
      <c r="A1480" s="88"/>
      <c r="B1480" s="30"/>
      <c r="C1480" s="30"/>
      <c r="D1480" s="30"/>
      <c r="E1480" s="30"/>
      <c r="F1480" s="88"/>
      <c r="G1480" s="88"/>
      <c r="H1480" s="30"/>
      <c r="I1480" s="96"/>
      <c r="J1480" s="97"/>
      <c r="K1480" s="102"/>
      <c r="L1480" s="103"/>
      <c r="M1480" s="104"/>
      <c r="N1480" s="105"/>
      <c r="O1480" s="98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</row>
    <row r="1481" spans="1:27" x14ac:dyDescent="0.25">
      <c r="A1481" s="88"/>
      <c r="B1481" s="30"/>
      <c r="C1481" s="30"/>
      <c r="D1481" s="30"/>
      <c r="E1481" s="30"/>
      <c r="F1481" s="88"/>
      <c r="G1481" s="88"/>
      <c r="H1481" s="30"/>
      <c r="I1481" s="96"/>
      <c r="J1481" s="97"/>
      <c r="K1481" s="102"/>
      <c r="L1481" s="103"/>
      <c r="M1481" s="104"/>
      <c r="N1481" s="105"/>
      <c r="O1481" s="98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</row>
    <row r="1482" spans="1:27" x14ac:dyDescent="0.25">
      <c r="A1482" s="88"/>
      <c r="B1482" s="30"/>
      <c r="C1482" s="30"/>
      <c r="D1482" s="30"/>
      <c r="E1482" s="30"/>
      <c r="F1482" s="88"/>
      <c r="G1482" s="88"/>
      <c r="H1482" s="30"/>
      <c r="I1482" s="96"/>
      <c r="J1482" s="97"/>
      <c r="K1482" s="102"/>
      <c r="L1482" s="103"/>
      <c r="M1482" s="104"/>
      <c r="N1482" s="105"/>
      <c r="O1482" s="98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</row>
    <row r="1483" spans="1:27" x14ac:dyDescent="0.25">
      <c r="A1483" s="88"/>
      <c r="B1483" s="30"/>
      <c r="C1483" s="30"/>
      <c r="D1483" s="30"/>
      <c r="E1483" s="30"/>
      <c r="F1483" s="88"/>
      <c r="G1483" s="88"/>
      <c r="H1483" s="30"/>
      <c r="I1483" s="96"/>
      <c r="J1483" s="97"/>
      <c r="K1483" s="102"/>
      <c r="L1483" s="103"/>
      <c r="M1483" s="104"/>
      <c r="N1483" s="105"/>
      <c r="O1483" s="98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</row>
    <row r="1484" spans="1:27" x14ac:dyDescent="0.25">
      <c r="A1484" s="88"/>
      <c r="B1484" s="30"/>
      <c r="C1484" s="30"/>
      <c r="D1484" s="30"/>
      <c r="E1484" s="30"/>
      <c r="F1484" s="88"/>
      <c r="G1484" s="88"/>
      <c r="H1484" s="30"/>
      <c r="I1484" s="96"/>
      <c r="J1484" s="97"/>
      <c r="K1484" s="102"/>
      <c r="L1484" s="103"/>
      <c r="M1484" s="104"/>
      <c r="N1484" s="105"/>
      <c r="O1484" s="98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</row>
    <row r="1485" spans="1:27" x14ac:dyDescent="0.25">
      <c r="A1485" s="88"/>
      <c r="B1485" s="30"/>
      <c r="C1485" s="30"/>
      <c r="D1485" s="30"/>
      <c r="E1485" s="30"/>
      <c r="F1485" s="88"/>
      <c r="G1485" s="88"/>
      <c r="H1485" s="30"/>
      <c r="I1485" s="96"/>
      <c r="J1485" s="97"/>
      <c r="K1485" s="102"/>
      <c r="L1485" s="103"/>
      <c r="M1485" s="104"/>
      <c r="N1485" s="105"/>
      <c r="O1485" s="98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</row>
    <row r="1486" spans="1:27" x14ac:dyDescent="0.25">
      <c r="A1486" s="88"/>
      <c r="B1486" s="30"/>
      <c r="C1486" s="30"/>
      <c r="D1486" s="30"/>
      <c r="E1486" s="30"/>
      <c r="F1486" s="88"/>
      <c r="G1486" s="88"/>
      <c r="H1486" s="30"/>
      <c r="I1486" s="96"/>
      <c r="J1486" s="97"/>
      <c r="K1486" s="102"/>
      <c r="L1486" s="103"/>
      <c r="M1486" s="104"/>
      <c r="N1486" s="105"/>
      <c r="O1486" s="98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</row>
    <row r="1487" spans="1:27" x14ac:dyDescent="0.25">
      <c r="A1487" s="88"/>
      <c r="B1487" s="30"/>
      <c r="C1487" s="30"/>
      <c r="D1487" s="30"/>
      <c r="E1487" s="30"/>
      <c r="F1487" s="88"/>
      <c r="G1487" s="88"/>
      <c r="H1487" s="30"/>
      <c r="I1487" s="96"/>
      <c r="J1487" s="97"/>
      <c r="K1487" s="102"/>
      <c r="L1487" s="103"/>
      <c r="M1487" s="104"/>
      <c r="N1487" s="105"/>
      <c r="O1487" s="98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</row>
    <row r="1488" spans="1:27" x14ac:dyDescent="0.25">
      <c r="A1488" s="88"/>
      <c r="B1488" s="30"/>
      <c r="C1488" s="30"/>
      <c r="D1488" s="30"/>
      <c r="E1488" s="30"/>
      <c r="F1488" s="88"/>
      <c r="G1488" s="88"/>
      <c r="H1488" s="30"/>
      <c r="I1488" s="96"/>
      <c r="J1488" s="97"/>
      <c r="K1488" s="102"/>
      <c r="L1488" s="103"/>
      <c r="M1488" s="104"/>
      <c r="N1488" s="105"/>
      <c r="O1488" s="98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</row>
    <row r="1489" spans="1:27" x14ac:dyDescent="0.25">
      <c r="A1489" s="88"/>
      <c r="B1489" s="30"/>
      <c r="C1489" s="30"/>
      <c r="D1489" s="30"/>
      <c r="E1489" s="30"/>
      <c r="F1489" s="88"/>
      <c r="G1489" s="88"/>
      <c r="H1489" s="30"/>
      <c r="I1489" s="96"/>
      <c r="J1489" s="97"/>
      <c r="K1489" s="102"/>
      <c r="L1489" s="103"/>
      <c r="M1489" s="104"/>
      <c r="N1489" s="105"/>
      <c r="O1489" s="98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</row>
    <row r="1490" spans="1:27" x14ac:dyDescent="0.25">
      <c r="A1490" s="88"/>
      <c r="B1490" s="30"/>
      <c r="C1490" s="30"/>
      <c r="D1490" s="30"/>
      <c r="E1490" s="30"/>
      <c r="F1490" s="88"/>
      <c r="G1490" s="88"/>
      <c r="H1490" s="30"/>
      <c r="I1490" s="96"/>
      <c r="J1490" s="97"/>
      <c r="K1490" s="102"/>
      <c r="L1490" s="103"/>
      <c r="M1490" s="104"/>
      <c r="N1490" s="105"/>
      <c r="O1490" s="98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</row>
    <row r="1491" spans="1:27" x14ac:dyDescent="0.25">
      <c r="A1491" s="88"/>
      <c r="B1491" s="30"/>
      <c r="C1491" s="30"/>
      <c r="D1491" s="30"/>
      <c r="E1491" s="30"/>
      <c r="F1491" s="88"/>
      <c r="G1491" s="88"/>
      <c r="H1491" s="30"/>
      <c r="I1491" s="96"/>
      <c r="J1491" s="97"/>
      <c r="K1491" s="102"/>
      <c r="L1491" s="103"/>
      <c r="M1491" s="104"/>
      <c r="N1491" s="105"/>
      <c r="O1491" s="98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</row>
    <row r="1492" spans="1:27" x14ac:dyDescent="0.25">
      <c r="A1492" s="88"/>
      <c r="B1492" s="30"/>
      <c r="C1492" s="30"/>
      <c r="D1492" s="30"/>
      <c r="E1492" s="30"/>
      <c r="F1492" s="88"/>
      <c r="G1492" s="88"/>
      <c r="H1492" s="30"/>
      <c r="I1492" s="96"/>
      <c r="J1492" s="97"/>
      <c r="K1492" s="102"/>
      <c r="L1492" s="103"/>
      <c r="M1492" s="104"/>
      <c r="N1492" s="105"/>
      <c r="O1492" s="98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</row>
    <row r="1493" spans="1:27" x14ac:dyDescent="0.25">
      <c r="A1493" s="88"/>
      <c r="B1493" s="30"/>
      <c r="C1493" s="30"/>
      <c r="D1493" s="30"/>
      <c r="E1493" s="30"/>
      <c r="F1493" s="88"/>
      <c r="G1493" s="88"/>
      <c r="H1493" s="30"/>
      <c r="I1493" s="96"/>
      <c r="J1493" s="97"/>
      <c r="K1493" s="102"/>
      <c r="L1493" s="103"/>
      <c r="M1493" s="104"/>
      <c r="N1493" s="105"/>
      <c r="O1493" s="98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</row>
    <row r="1494" spans="1:27" x14ac:dyDescent="0.25">
      <c r="A1494" s="88"/>
      <c r="B1494" s="30"/>
      <c r="C1494" s="30"/>
      <c r="D1494" s="30"/>
      <c r="E1494" s="30"/>
      <c r="F1494" s="88"/>
      <c r="G1494" s="88"/>
      <c r="H1494" s="30"/>
      <c r="I1494" s="96"/>
      <c r="J1494" s="97"/>
      <c r="K1494" s="102"/>
      <c r="L1494" s="103"/>
      <c r="M1494" s="104"/>
      <c r="N1494" s="105"/>
      <c r="O1494" s="98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</row>
    <row r="1495" spans="1:27" x14ac:dyDescent="0.25">
      <c r="A1495" s="88"/>
      <c r="B1495" s="30"/>
      <c r="C1495" s="30"/>
      <c r="D1495" s="30"/>
      <c r="E1495" s="30"/>
      <c r="F1495" s="88"/>
      <c r="G1495" s="88"/>
      <c r="H1495" s="30"/>
      <c r="I1495" s="96"/>
      <c r="J1495" s="97"/>
      <c r="K1495" s="102"/>
      <c r="L1495" s="103"/>
      <c r="M1495" s="104"/>
      <c r="N1495" s="105"/>
      <c r="O1495" s="98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</row>
    <row r="1496" spans="1:27" x14ac:dyDescent="0.25">
      <c r="A1496" s="88"/>
      <c r="B1496" s="30"/>
      <c r="C1496" s="30"/>
      <c r="D1496" s="30"/>
      <c r="E1496" s="30"/>
      <c r="F1496" s="88"/>
      <c r="G1496" s="88"/>
      <c r="H1496" s="30"/>
      <c r="I1496" s="96"/>
      <c r="J1496" s="97"/>
      <c r="K1496" s="102"/>
      <c r="L1496" s="103"/>
      <c r="M1496" s="104"/>
      <c r="N1496" s="105"/>
      <c r="O1496" s="98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</row>
    <row r="1497" spans="1:27" x14ac:dyDescent="0.25">
      <c r="A1497" s="88"/>
      <c r="B1497" s="30"/>
      <c r="C1497" s="30"/>
      <c r="D1497" s="30"/>
      <c r="E1497" s="30"/>
      <c r="F1497" s="88"/>
      <c r="G1497" s="88"/>
      <c r="H1497" s="30"/>
      <c r="I1497" s="96"/>
      <c r="J1497" s="97"/>
      <c r="K1497" s="102"/>
      <c r="L1497" s="103"/>
      <c r="M1497" s="104"/>
      <c r="N1497" s="105"/>
      <c r="O1497" s="98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</row>
    <row r="1498" spans="1:27" x14ac:dyDescent="0.25">
      <c r="A1498" s="88"/>
      <c r="B1498" s="30"/>
      <c r="C1498" s="30"/>
      <c r="D1498" s="30"/>
      <c r="E1498" s="30"/>
      <c r="F1498" s="88"/>
      <c r="G1498" s="88"/>
      <c r="H1498" s="30"/>
      <c r="I1498" s="96"/>
      <c r="J1498" s="97"/>
      <c r="K1498" s="102"/>
      <c r="L1498" s="103"/>
      <c r="M1498" s="104"/>
      <c r="N1498" s="105"/>
      <c r="O1498" s="98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</row>
    <row r="1499" spans="1:27" x14ac:dyDescent="0.25">
      <c r="A1499" s="88"/>
      <c r="B1499" s="30"/>
      <c r="C1499" s="30"/>
      <c r="D1499" s="30"/>
      <c r="E1499" s="30"/>
      <c r="F1499" s="88"/>
      <c r="G1499" s="88"/>
      <c r="H1499" s="30"/>
      <c r="I1499" s="96"/>
      <c r="J1499" s="97"/>
      <c r="K1499" s="102"/>
      <c r="L1499" s="103"/>
      <c r="M1499" s="104"/>
      <c r="N1499" s="105"/>
      <c r="O1499" s="98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</row>
    <row r="1500" spans="1:27" x14ac:dyDescent="0.25">
      <c r="A1500" s="88"/>
      <c r="B1500" s="30"/>
      <c r="C1500" s="30"/>
      <c r="D1500" s="30"/>
      <c r="E1500" s="30"/>
      <c r="F1500" s="88"/>
      <c r="G1500" s="88"/>
      <c r="H1500" s="30"/>
      <c r="I1500" s="96"/>
      <c r="J1500" s="97"/>
      <c r="K1500" s="102"/>
      <c r="L1500" s="103"/>
      <c r="M1500" s="104"/>
      <c r="N1500" s="105"/>
      <c r="O1500" s="98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</row>
    <row r="1501" spans="1:27" x14ac:dyDescent="0.25">
      <c r="A1501" s="88"/>
      <c r="B1501" s="30"/>
      <c r="C1501" s="30"/>
      <c r="D1501" s="30"/>
      <c r="E1501" s="30"/>
      <c r="F1501" s="88"/>
      <c r="G1501" s="88"/>
      <c r="H1501" s="30"/>
      <c r="I1501" s="96"/>
      <c r="J1501" s="97"/>
      <c r="K1501" s="102"/>
      <c r="L1501" s="103"/>
      <c r="M1501" s="104"/>
      <c r="N1501" s="105"/>
      <c r="O1501" s="98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</row>
    <row r="1502" spans="1:27" x14ac:dyDescent="0.25">
      <c r="A1502" s="88"/>
      <c r="B1502" s="30"/>
      <c r="C1502" s="30"/>
      <c r="D1502" s="30"/>
      <c r="E1502" s="30"/>
      <c r="F1502" s="88"/>
      <c r="G1502" s="88"/>
      <c r="H1502" s="30"/>
      <c r="I1502" s="96"/>
      <c r="J1502" s="97"/>
      <c r="K1502" s="102"/>
      <c r="L1502" s="103"/>
      <c r="M1502" s="104"/>
      <c r="N1502" s="105"/>
      <c r="O1502" s="98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</row>
    <row r="1503" spans="1:27" x14ac:dyDescent="0.25">
      <c r="A1503" s="88"/>
      <c r="B1503" s="30"/>
      <c r="C1503" s="30"/>
      <c r="D1503" s="30"/>
      <c r="E1503" s="30"/>
      <c r="F1503" s="88"/>
      <c r="G1503" s="88"/>
      <c r="H1503" s="30"/>
      <c r="I1503" s="96"/>
      <c r="J1503" s="97"/>
      <c r="K1503" s="102"/>
      <c r="L1503" s="103"/>
      <c r="M1503" s="104"/>
      <c r="N1503" s="105"/>
      <c r="O1503" s="98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</row>
    <row r="1504" spans="1:27" x14ac:dyDescent="0.25">
      <c r="A1504" s="88"/>
      <c r="B1504" s="30"/>
      <c r="C1504" s="30"/>
      <c r="D1504" s="30"/>
      <c r="E1504" s="30"/>
      <c r="F1504" s="88"/>
      <c r="G1504" s="88"/>
      <c r="H1504" s="30"/>
      <c r="I1504" s="96"/>
      <c r="J1504" s="97"/>
      <c r="K1504" s="102"/>
      <c r="L1504" s="103"/>
      <c r="M1504" s="104"/>
      <c r="N1504" s="105"/>
      <c r="O1504" s="98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</row>
    <row r="1505" spans="1:27" x14ac:dyDescent="0.25">
      <c r="A1505" s="88"/>
      <c r="B1505" s="30"/>
      <c r="C1505" s="30"/>
      <c r="D1505" s="30"/>
      <c r="E1505" s="30"/>
      <c r="F1505" s="88"/>
      <c r="G1505" s="88"/>
      <c r="H1505" s="30"/>
      <c r="I1505" s="96"/>
      <c r="J1505" s="97"/>
      <c r="K1505" s="102"/>
      <c r="L1505" s="103"/>
      <c r="M1505" s="104"/>
      <c r="N1505" s="105"/>
      <c r="O1505" s="98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</row>
    <row r="1506" spans="1:27" x14ac:dyDescent="0.25">
      <c r="A1506" s="88"/>
      <c r="B1506" s="30"/>
      <c r="C1506" s="30"/>
      <c r="D1506" s="30"/>
      <c r="E1506" s="30"/>
      <c r="F1506" s="88"/>
      <c r="G1506" s="88"/>
      <c r="H1506" s="30"/>
      <c r="I1506" s="96"/>
      <c r="J1506" s="97"/>
      <c r="K1506" s="102"/>
      <c r="L1506" s="103"/>
      <c r="M1506" s="104"/>
      <c r="N1506" s="105"/>
      <c r="O1506" s="98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</row>
    <row r="1507" spans="1:27" x14ac:dyDescent="0.25">
      <c r="A1507" s="88"/>
      <c r="B1507" s="30"/>
      <c r="C1507" s="30"/>
      <c r="D1507" s="30"/>
      <c r="E1507" s="30"/>
      <c r="F1507" s="88"/>
      <c r="G1507" s="88"/>
      <c r="H1507" s="30"/>
      <c r="I1507" s="96"/>
      <c r="J1507" s="97"/>
      <c r="K1507" s="102"/>
      <c r="L1507" s="103"/>
      <c r="M1507" s="104"/>
      <c r="N1507" s="105"/>
      <c r="O1507" s="98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</row>
    <row r="1508" spans="1:27" x14ac:dyDescent="0.25">
      <c r="A1508" s="88"/>
      <c r="B1508" s="30"/>
      <c r="C1508" s="30"/>
      <c r="D1508" s="30"/>
      <c r="E1508" s="30"/>
      <c r="F1508" s="88"/>
      <c r="G1508" s="88"/>
      <c r="H1508" s="30"/>
      <c r="I1508" s="96"/>
      <c r="J1508" s="97"/>
      <c r="K1508" s="102"/>
      <c r="L1508" s="103"/>
      <c r="M1508" s="104"/>
      <c r="N1508" s="105"/>
      <c r="O1508" s="98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</row>
    <row r="1509" spans="1:27" x14ac:dyDescent="0.25">
      <c r="A1509" s="88"/>
      <c r="B1509" s="30"/>
      <c r="C1509" s="30"/>
      <c r="D1509" s="30"/>
      <c r="E1509" s="30"/>
      <c r="F1509" s="88"/>
      <c r="G1509" s="88"/>
      <c r="H1509" s="30"/>
      <c r="I1509" s="96"/>
      <c r="J1509" s="97"/>
      <c r="K1509" s="102"/>
      <c r="L1509" s="103"/>
      <c r="M1509" s="104"/>
      <c r="N1509" s="105"/>
      <c r="O1509" s="98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</row>
    <row r="1510" spans="1:27" x14ac:dyDescent="0.25">
      <c r="A1510" s="88"/>
      <c r="B1510" s="30"/>
      <c r="C1510" s="30"/>
      <c r="D1510" s="30"/>
      <c r="E1510" s="30"/>
      <c r="F1510" s="88"/>
      <c r="G1510" s="88"/>
      <c r="H1510" s="30"/>
      <c r="I1510" s="96"/>
      <c r="J1510" s="97"/>
      <c r="K1510" s="102"/>
      <c r="L1510" s="103"/>
      <c r="M1510" s="104"/>
      <c r="N1510" s="105"/>
      <c r="O1510" s="98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</row>
    <row r="1511" spans="1:27" x14ac:dyDescent="0.25">
      <c r="A1511" s="88"/>
      <c r="B1511" s="30"/>
      <c r="C1511" s="30"/>
      <c r="D1511" s="30"/>
      <c r="E1511" s="30"/>
      <c r="F1511" s="88"/>
      <c r="G1511" s="88"/>
      <c r="H1511" s="30"/>
      <c r="I1511" s="96"/>
      <c r="J1511" s="97"/>
      <c r="K1511" s="102"/>
      <c r="L1511" s="103"/>
      <c r="M1511" s="104"/>
      <c r="N1511" s="105"/>
      <c r="O1511" s="98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</row>
    <row r="1512" spans="1:27" x14ac:dyDescent="0.25">
      <c r="A1512" s="88"/>
      <c r="B1512" s="30"/>
      <c r="C1512" s="30"/>
      <c r="D1512" s="30"/>
      <c r="E1512" s="30"/>
      <c r="F1512" s="88"/>
      <c r="G1512" s="88"/>
      <c r="H1512" s="30"/>
      <c r="I1512" s="96"/>
      <c r="J1512" s="97"/>
      <c r="K1512" s="102"/>
      <c r="L1512" s="103"/>
      <c r="M1512" s="104"/>
      <c r="N1512" s="105"/>
      <c r="O1512" s="98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</row>
    <row r="1513" spans="1:27" x14ac:dyDescent="0.25">
      <c r="A1513" s="88"/>
      <c r="B1513" s="30"/>
      <c r="C1513" s="30"/>
      <c r="D1513" s="30"/>
      <c r="E1513" s="30"/>
      <c r="F1513" s="88"/>
      <c r="G1513" s="88"/>
      <c r="H1513" s="30"/>
      <c r="I1513" s="96"/>
      <c r="J1513" s="97"/>
      <c r="K1513" s="102"/>
      <c r="L1513" s="103"/>
      <c r="M1513" s="104"/>
      <c r="N1513" s="105"/>
      <c r="O1513" s="98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</row>
    <row r="1514" spans="1:27" x14ac:dyDescent="0.25">
      <c r="A1514" s="88"/>
      <c r="B1514" s="30"/>
      <c r="C1514" s="30"/>
      <c r="D1514" s="30"/>
      <c r="E1514" s="30"/>
      <c r="F1514" s="88"/>
      <c r="G1514" s="88"/>
      <c r="H1514" s="30"/>
      <c r="I1514" s="96"/>
      <c r="J1514" s="97"/>
      <c r="K1514" s="102"/>
      <c r="L1514" s="103"/>
      <c r="M1514" s="104"/>
      <c r="N1514" s="105"/>
      <c r="O1514" s="98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</row>
    <row r="1515" spans="1:27" x14ac:dyDescent="0.25">
      <c r="A1515" s="88"/>
      <c r="B1515" s="30"/>
      <c r="C1515" s="30"/>
      <c r="D1515" s="30"/>
      <c r="E1515" s="30"/>
      <c r="F1515" s="88"/>
      <c r="G1515" s="88"/>
      <c r="H1515" s="30"/>
      <c r="I1515" s="96"/>
      <c r="J1515" s="97"/>
      <c r="K1515" s="102"/>
      <c r="L1515" s="103"/>
      <c r="M1515" s="104"/>
      <c r="N1515" s="105"/>
      <c r="O1515" s="98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</row>
    <row r="1516" spans="1:27" x14ac:dyDescent="0.25">
      <c r="A1516" s="88"/>
      <c r="B1516" s="30"/>
      <c r="C1516" s="30"/>
      <c r="D1516" s="30"/>
      <c r="E1516" s="30"/>
      <c r="F1516" s="88"/>
      <c r="G1516" s="88"/>
      <c r="H1516" s="30"/>
      <c r="I1516" s="96"/>
      <c r="J1516" s="97"/>
      <c r="K1516" s="102"/>
      <c r="L1516" s="103"/>
      <c r="M1516" s="104"/>
      <c r="N1516" s="105"/>
      <c r="O1516" s="98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</row>
    <row r="1517" spans="1:27" x14ac:dyDescent="0.25">
      <c r="A1517" s="88"/>
      <c r="B1517" s="30"/>
      <c r="C1517" s="30"/>
      <c r="D1517" s="30"/>
      <c r="E1517" s="30"/>
      <c r="F1517" s="88"/>
      <c r="G1517" s="88"/>
      <c r="H1517" s="30"/>
      <c r="I1517" s="96"/>
      <c r="J1517" s="97"/>
      <c r="K1517" s="102"/>
      <c r="L1517" s="103"/>
      <c r="M1517" s="104"/>
      <c r="N1517" s="105"/>
      <c r="O1517" s="98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</row>
    <row r="1518" spans="1:27" x14ac:dyDescent="0.25">
      <c r="A1518" s="88"/>
      <c r="B1518" s="30"/>
      <c r="C1518" s="30"/>
      <c r="D1518" s="30"/>
      <c r="E1518" s="30"/>
      <c r="F1518" s="88"/>
      <c r="G1518" s="88"/>
      <c r="H1518" s="30"/>
      <c r="I1518" s="96"/>
      <c r="J1518" s="97"/>
      <c r="K1518" s="102"/>
      <c r="L1518" s="103"/>
      <c r="M1518" s="104"/>
      <c r="N1518" s="105"/>
      <c r="O1518" s="98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</row>
    <row r="1519" spans="1:27" x14ac:dyDescent="0.25">
      <c r="A1519" s="88"/>
      <c r="B1519" s="30"/>
      <c r="C1519" s="30"/>
      <c r="D1519" s="30"/>
      <c r="E1519" s="30"/>
      <c r="F1519" s="88"/>
      <c r="G1519" s="88"/>
      <c r="H1519" s="30"/>
      <c r="I1519" s="96"/>
      <c r="J1519" s="97"/>
      <c r="K1519" s="102"/>
      <c r="L1519" s="103"/>
      <c r="M1519" s="104"/>
      <c r="N1519" s="105"/>
      <c r="O1519" s="98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</row>
    <row r="1520" spans="1:27" x14ac:dyDescent="0.25">
      <c r="A1520" s="88"/>
      <c r="B1520" s="30"/>
      <c r="C1520" s="30"/>
      <c r="D1520" s="30"/>
      <c r="E1520" s="30"/>
      <c r="F1520" s="88"/>
      <c r="G1520" s="88"/>
      <c r="H1520" s="30"/>
      <c r="I1520" s="96"/>
      <c r="J1520" s="97"/>
      <c r="K1520" s="102"/>
      <c r="L1520" s="103"/>
      <c r="M1520" s="104"/>
      <c r="N1520" s="105"/>
      <c r="O1520" s="98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</row>
    <row r="1521" spans="1:27" x14ac:dyDescent="0.25">
      <c r="A1521" s="88"/>
      <c r="B1521" s="30"/>
      <c r="C1521" s="30"/>
      <c r="D1521" s="30"/>
      <c r="E1521" s="30"/>
      <c r="F1521" s="88"/>
      <c r="G1521" s="88"/>
      <c r="H1521" s="30"/>
      <c r="I1521" s="96"/>
      <c r="J1521" s="97"/>
      <c r="K1521" s="102"/>
      <c r="L1521" s="103"/>
      <c r="M1521" s="104"/>
      <c r="N1521" s="105"/>
      <c r="O1521" s="98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</row>
    <row r="1522" spans="1:27" x14ac:dyDescent="0.25">
      <c r="A1522" s="88"/>
      <c r="B1522" s="30"/>
      <c r="C1522" s="30"/>
      <c r="D1522" s="30"/>
      <c r="E1522" s="30"/>
      <c r="F1522" s="88"/>
      <c r="G1522" s="88"/>
      <c r="H1522" s="30"/>
      <c r="I1522" s="96"/>
      <c r="J1522" s="97"/>
      <c r="K1522" s="102"/>
      <c r="L1522" s="103"/>
      <c r="M1522" s="104"/>
      <c r="N1522" s="105"/>
      <c r="O1522" s="98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</row>
    <row r="1523" spans="1:27" x14ac:dyDescent="0.25">
      <c r="A1523" s="88"/>
      <c r="B1523" s="30"/>
      <c r="C1523" s="30"/>
      <c r="D1523" s="30"/>
      <c r="E1523" s="30"/>
      <c r="F1523" s="88"/>
      <c r="G1523" s="88"/>
      <c r="H1523" s="30"/>
      <c r="I1523" s="96"/>
      <c r="J1523" s="97"/>
      <c r="K1523" s="102"/>
      <c r="L1523" s="103"/>
      <c r="M1523" s="104"/>
      <c r="N1523" s="105"/>
      <c r="O1523" s="98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</row>
    <row r="1524" spans="1:27" x14ac:dyDescent="0.25">
      <c r="A1524" s="88"/>
      <c r="B1524" s="30"/>
      <c r="C1524" s="30"/>
      <c r="D1524" s="30"/>
      <c r="E1524" s="30"/>
      <c r="F1524" s="88"/>
      <c r="G1524" s="88"/>
      <c r="H1524" s="30"/>
      <c r="I1524" s="96"/>
      <c r="J1524" s="97"/>
      <c r="K1524" s="102"/>
      <c r="L1524" s="103"/>
      <c r="M1524" s="104"/>
      <c r="N1524" s="105"/>
      <c r="O1524" s="98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</row>
    <row r="1525" spans="1:27" x14ac:dyDescent="0.25">
      <c r="A1525" s="88"/>
      <c r="B1525" s="30"/>
      <c r="C1525" s="30"/>
      <c r="D1525" s="30"/>
      <c r="E1525" s="30"/>
      <c r="F1525" s="88"/>
      <c r="G1525" s="88"/>
      <c r="H1525" s="30"/>
      <c r="I1525" s="96"/>
      <c r="J1525" s="97"/>
      <c r="K1525" s="102"/>
      <c r="L1525" s="103"/>
      <c r="M1525" s="104"/>
      <c r="N1525" s="105"/>
      <c r="O1525" s="98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</row>
    <row r="1526" spans="1:27" x14ac:dyDescent="0.25">
      <c r="A1526" s="88"/>
      <c r="B1526" s="30"/>
      <c r="C1526" s="30"/>
      <c r="D1526" s="30"/>
      <c r="E1526" s="30"/>
      <c r="F1526" s="88"/>
      <c r="G1526" s="88"/>
      <c r="H1526" s="30"/>
      <c r="I1526" s="96"/>
      <c r="J1526" s="97"/>
      <c r="K1526" s="102"/>
      <c r="L1526" s="103"/>
      <c r="M1526" s="104"/>
      <c r="N1526" s="105"/>
      <c r="O1526" s="98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</row>
    <row r="1527" spans="1:27" x14ac:dyDescent="0.25">
      <c r="A1527" s="88"/>
      <c r="B1527" s="30"/>
      <c r="C1527" s="30"/>
      <c r="D1527" s="30"/>
      <c r="E1527" s="30"/>
      <c r="F1527" s="88"/>
      <c r="G1527" s="88"/>
      <c r="H1527" s="30"/>
      <c r="I1527" s="96"/>
      <c r="J1527" s="97"/>
      <c r="K1527" s="102"/>
      <c r="L1527" s="103"/>
      <c r="M1527" s="104"/>
      <c r="N1527" s="105"/>
      <c r="O1527" s="98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</row>
    <row r="1528" spans="1:27" x14ac:dyDescent="0.25">
      <c r="A1528" s="88"/>
      <c r="B1528" s="30"/>
      <c r="C1528" s="30"/>
      <c r="D1528" s="30"/>
      <c r="E1528" s="30"/>
      <c r="F1528" s="88"/>
      <c r="G1528" s="88"/>
      <c r="H1528" s="30"/>
      <c r="I1528" s="96"/>
      <c r="J1528" s="97"/>
      <c r="K1528" s="102"/>
      <c r="L1528" s="103"/>
      <c r="M1528" s="104"/>
      <c r="N1528" s="105"/>
      <c r="O1528" s="98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</row>
    <row r="1529" spans="1:27" x14ac:dyDescent="0.25">
      <c r="A1529" s="88"/>
      <c r="B1529" s="30"/>
      <c r="C1529" s="30"/>
      <c r="D1529" s="30"/>
      <c r="E1529" s="30"/>
      <c r="F1529" s="88"/>
      <c r="G1529" s="88"/>
      <c r="H1529" s="30"/>
      <c r="I1529" s="96"/>
      <c r="J1529" s="97"/>
      <c r="K1529" s="102"/>
      <c r="L1529" s="103"/>
      <c r="M1529" s="104"/>
      <c r="N1529" s="105"/>
      <c r="O1529" s="98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</row>
    <row r="1530" spans="1:27" x14ac:dyDescent="0.25">
      <c r="A1530" s="88"/>
      <c r="B1530" s="30"/>
      <c r="C1530" s="30"/>
      <c r="D1530" s="30"/>
      <c r="E1530" s="30"/>
      <c r="F1530" s="88"/>
      <c r="G1530" s="88"/>
      <c r="H1530" s="30"/>
      <c r="I1530" s="96"/>
      <c r="J1530" s="97"/>
      <c r="K1530" s="102"/>
      <c r="L1530" s="103"/>
      <c r="M1530" s="104"/>
      <c r="N1530" s="105"/>
      <c r="O1530" s="98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</row>
    <row r="1531" spans="1:27" x14ac:dyDescent="0.25">
      <c r="A1531" s="88"/>
      <c r="B1531" s="30"/>
      <c r="C1531" s="30"/>
      <c r="D1531" s="30"/>
      <c r="E1531" s="30"/>
      <c r="F1531" s="88"/>
      <c r="G1531" s="88"/>
      <c r="H1531" s="30"/>
      <c r="I1531" s="96"/>
      <c r="J1531" s="97"/>
      <c r="K1531" s="102"/>
      <c r="L1531" s="103"/>
      <c r="M1531" s="104"/>
      <c r="N1531" s="105"/>
      <c r="O1531" s="98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</row>
    <row r="1532" spans="1:27" x14ac:dyDescent="0.25">
      <c r="A1532" s="88"/>
      <c r="B1532" s="30"/>
      <c r="C1532" s="30"/>
      <c r="D1532" s="30"/>
      <c r="E1532" s="30"/>
      <c r="F1532" s="88"/>
      <c r="G1532" s="88"/>
      <c r="H1532" s="30"/>
      <c r="I1532" s="96"/>
      <c r="J1532" s="97"/>
      <c r="K1532" s="102"/>
      <c r="L1532" s="103"/>
      <c r="M1532" s="104"/>
      <c r="N1532" s="105"/>
      <c r="O1532" s="98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</row>
    <row r="1533" spans="1:27" x14ac:dyDescent="0.25">
      <c r="A1533" s="88"/>
      <c r="B1533" s="30"/>
      <c r="C1533" s="30"/>
      <c r="D1533" s="30"/>
      <c r="E1533" s="30"/>
      <c r="F1533" s="88"/>
      <c r="G1533" s="88"/>
      <c r="H1533" s="30"/>
      <c r="I1533" s="96"/>
      <c r="J1533" s="97"/>
      <c r="K1533" s="102"/>
      <c r="L1533" s="103"/>
      <c r="M1533" s="104"/>
      <c r="N1533" s="105"/>
      <c r="O1533" s="98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</row>
    <row r="1534" spans="1:27" x14ac:dyDescent="0.25">
      <c r="A1534" s="88"/>
      <c r="B1534" s="30"/>
      <c r="C1534" s="30"/>
      <c r="D1534" s="30"/>
      <c r="E1534" s="30"/>
      <c r="F1534" s="88"/>
      <c r="G1534" s="88"/>
      <c r="H1534" s="30"/>
      <c r="I1534" s="96"/>
      <c r="J1534" s="97"/>
      <c r="K1534" s="102"/>
      <c r="L1534" s="103"/>
      <c r="M1534" s="104"/>
      <c r="N1534" s="105"/>
      <c r="O1534" s="98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</row>
    <row r="1535" spans="1:27" x14ac:dyDescent="0.25">
      <c r="A1535" s="88"/>
      <c r="B1535" s="30"/>
      <c r="C1535" s="30"/>
      <c r="D1535" s="30"/>
      <c r="E1535" s="30"/>
      <c r="F1535" s="88"/>
      <c r="G1535" s="88"/>
      <c r="H1535" s="30"/>
      <c r="I1535" s="96"/>
      <c r="J1535" s="97"/>
      <c r="K1535" s="102"/>
      <c r="L1535" s="103"/>
      <c r="M1535" s="104"/>
      <c r="N1535" s="105"/>
      <c r="O1535" s="98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</row>
    <row r="1536" spans="1:27" x14ac:dyDescent="0.25">
      <c r="A1536" s="88"/>
      <c r="B1536" s="30"/>
      <c r="C1536" s="30"/>
      <c r="D1536" s="30"/>
      <c r="E1536" s="30"/>
      <c r="F1536" s="88"/>
      <c r="G1536" s="88"/>
      <c r="H1536" s="30"/>
      <c r="I1536" s="96"/>
      <c r="J1536" s="97"/>
      <c r="K1536" s="102"/>
      <c r="L1536" s="103"/>
      <c r="M1536" s="104"/>
      <c r="N1536" s="105"/>
      <c r="O1536" s="98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</row>
    <row r="1537" spans="1:27" x14ac:dyDescent="0.25">
      <c r="A1537" s="88"/>
      <c r="B1537" s="30"/>
      <c r="C1537" s="30"/>
      <c r="D1537" s="30"/>
      <c r="E1537" s="30"/>
      <c r="F1537" s="88"/>
      <c r="G1537" s="88"/>
      <c r="H1537" s="30"/>
      <c r="I1537" s="96"/>
      <c r="J1537" s="97"/>
      <c r="K1537" s="102"/>
      <c r="L1537" s="103"/>
      <c r="M1537" s="104"/>
      <c r="N1537" s="105"/>
      <c r="O1537" s="98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</row>
    <row r="1538" spans="1:27" x14ac:dyDescent="0.25">
      <c r="A1538" s="88"/>
      <c r="B1538" s="30"/>
      <c r="C1538" s="30"/>
      <c r="D1538" s="30"/>
      <c r="E1538" s="30"/>
      <c r="F1538" s="88"/>
      <c r="G1538" s="88"/>
      <c r="H1538" s="30"/>
      <c r="I1538" s="96"/>
      <c r="J1538" s="97"/>
      <c r="K1538" s="102"/>
      <c r="L1538" s="103"/>
      <c r="M1538" s="104"/>
      <c r="N1538" s="105"/>
      <c r="O1538" s="98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</row>
    <row r="1539" spans="1:27" x14ac:dyDescent="0.25">
      <c r="A1539" s="88"/>
      <c r="B1539" s="30"/>
      <c r="C1539" s="30"/>
      <c r="D1539" s="30"/>
      <c r="E1539" s="30"/>
      <c r="F1539" s="88"/>
      <c r="G1539" s="88"/>
      <c r="H1539" s="30"/>
      <c r="I1539" s="96"/>
      <c r="J1539" s="97"/>
      <c r="K1539" s="102"/>
      <c r="L1539" s="103"/>
      <c r="M1539" s="104"/>
      <c r="N1539" s="105"/>
      <c r="O1539" s="98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</row>
    <row r="1540" spans="1:27" x14ac:dyDescent="0.25">
      <c r="A1540" s="88"/>
      <c r="B1540" s="30"/>
      <c r="C1540" s="30"/>
      <c r="D1540" s="30"/>
      <c r="E1540" s="30"/>
      <c r="F1540" s="88"/>
      <c r="G1540" s="88"/>
      <c r="H1540" s="30"/>
      <c r="I1540" s="96"/>
      <c r="J1540" s="97"/>
      <c r="K1540" s="102"/>
      <c r="L1540" s="103"/>
      <c r="M1540" s="104"/>
      <c r="N1540" s="105"/>
      <c r="O1540" s="98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</row>
    <row r="1541" spans="1:27" x14ac:dyDescent="0.25">
      <c r="A1541" s="88"/>
      <c r="B1541" s="30"/>
      <c r="C1541" s="30"/>
      <c r="D1541" s="30"/>
      <c r="E1541" s="30"/>
      <c r="F1541" s="88"/>
      <c r="G1541" s="88"/>
      <c r="H1541" s="30"/>
      <c r="I1541" s="96"/>
      <c r="J1541" s="97"/>
      <c r="K1541" s="102"/>
      <c r="L1541" s="103"/>
      <c r="M1541" s="104"/>
      <c r="N1541" s="105"/>
      <c r="O1541" s="98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</row>
    <row r="1542" spans="1:27" x14ac:dyDescent="0.25">
      <c r="A1542" s="88"/>
      <c r="B1542" s="30"/>
      <c r="C1542" s="30"/>
      <c r="D1542" s="30"/>
      <c r="E1542" s="30"/>
      <c r="F1542" s="88"/>
      <c r="G1542" s="88"/>
      <c r="H1542" s="30"/>
      <c r="I1542" s="96"/>
      <c r="J1542" s="97"/>
      <c r="K1542" s="102"/>
      <c r="L1542" s="103"/>
      <c r="M1542" s="104"/>
      <c r="N1542" s="105"/>
      <c r="O1542" s="98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</row>
    <row r="1543" spans="1:27" x14ac:dyDescent="0.25">
      <c r="A1543" s="88"/>
      <c r="B1543" s="30"/>
      <c r="C1543" s="30"/>
      <c r="D1543" s="30"/>
      <c r="E1543" s="30"/>
      <c r="F1543" s="88"/>
      <c r="G1543" s="88"/>
      <c r="H1543" s="30"/>
      <c r="I1543" s="96"/>
      <c r="J1543" s="97"/>
      <c r="K1543" s="102"/>
      <c r="L1543" s="103"/>
      <c r="M1543" s="104"/>
      <c r="N1543" s="105"/>
      <c r="O1543" s="98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</row>
    <row r="1544" spans="1:27" x14ac:dyDescent="0.25">
      <c r="A1544" s="88"/>
      <c r="B1544" s="30"/>
      <c r="C1544" s="30"/>
      <c r="D1544" s="30"/>
      <c r="E1544" s="30"/>
      <c r="F1544" s="88"/>
      <c r="G1544" s="88"/>
      <c r="H1544" s="30"/>
      <c r="I1544" s="96"/>
      <c r="J1544" s="97"/>
      <c r="K1544" s="102"/>
      <c r="L1544" s="103"/>
      <c r="M1544" s="104"/>
      <c r="N1544" s="105"/>
      <c r="O1544" s="98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</row>
    <row r="1545" spans="1:27" x14ac:dyDescent="0.25">
      <c r="A1545" s="88"/>
      <c r="B1545" s="30"/>
      <c r="C1545" s="30"/>
      <c r="D1545" s="30"/>
      <c r="E1545" s="30"/>
      <c r="F1545" s="88"/>
      <c r="G1545" s="88"/>
      <c r="H1545" s="30"/>
      <c r="I1545" s="96"/>
      <c r="J1545" s="97"/>
      <c r="K1545" s="102"/>
      <c r="L1545" s="103"/>
      <c r="M1545" s="104"/>
      <c r="N1545" s="105"/>
      <c r="O1545" s="98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</row>
    <row r="1546" spans="1:27" x14ac:dyDescent="0.25">
      <c r="A1546" s="88"/>
      <c r="B1546" s="30"/>
      <c r="C1546" s="30"/>
      <c r="D1546" s="30"/>
      <c r="E1546" s="30"/>
      <c r="F1546" s="88"/>
      <c r="G1546" s="88"/>
      <c r="H1546" s="30"/>
      <c r="I1546" s="96"/>
      <c r="J1546" s="97"/>
      <c r="K1546" s="102"/>
      <c r="L1546" s="103"/>
      <c r="M1546" s="104"/>
      <c r="N1546" s="105"/>
      <c r="O1546" s="98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</row>
    <row r="1547" spans="1:27" x14ac:dyDescent="0.25">
      <c r="A1547" s="88"/>
      <c r="B1547" s="30"/>
      <c r="C1547" s="30"/>
      <c r="D1547" s="30"/>
      <c r="E1547" s="30"/>
      <c r="F1547" s="88"/>
      <c r="G1547" s="88"/>
      <c r="H1547" s="30"/>
      <c r="I1547" s="96"/>
      <c r="J1547" s="97"/>
      <c r="K1547" s="102"/>
      <c r="L1547" s="103"/>
      <c r="M1547" s="104"/>
      <c r="N1547" s="105"/>
      <c r="O1547" s="98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</row>
    <row r="1548" spans="1:27" x14ac:dyDescent="0.25">
      <c r="A1548" s="88"/>
      <c r="B1548" s="30"/>
      <c r="C1548" s="30"/>
      <c r="D1548" s="30"/>
      <c r="E1548" s="30"/>
      <c r="F1548" s="88"/>
      <c r="G1548" s="88"/>
      <c r="H1548" s="30"/>
      <c r="I1548" s="96"/>
      <c r="J1548" s="97"/>
      <c r="K1548" s="102"/>
      <c r="L1548" s="103"/>
      <c r="M1548" s="104"/>
      <c r="N1548" s="105"/>
      <c r="O1548" s="98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</row>
    <row r="1549" spans="1:27" x14ac:dyDescent="0.25">
      <c r="A1549" s="88"/>
      <c r="B1549" s="30"/>
      <c r="C1549" s="30"/>
      <c r="D1549" s="30"/>
      <c r="E1549" s="30"/>
      <c r="F1549" s="88"/>
      <c r="G1549" s="88"/>
      <c r="H1549" s="30"/>
      <c r="I1549" s="96"/>
      <c r="J1549" s="97"/>
      <c r="K1549" s="102"/>
      <c r="L1549" s="103"/>
      <c r="M1549" s="104"/>
      <c r="N1549" s="105"/>
      <c r="O1549" s="98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</row>
  </sheetData>
  <mergeCells count="2">
    <mergeCell ref="F1:G1"/>
    <mergeCell ref="P1:Q1"/>
  </mergeCells>
  <conditionalFormatting sqref="K2:K1549">
    <cfRule type="expression" dxfId="0" priority="1">
      <formula>IF(AND(COUNTIF($K$2:K1549,"=" &amp; K2)&gt;1,K2&lt;&gt;""),TRUE,FALSE)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  <outlinePr summaryBelow="0" summaryRight="0"/>
  </sheetPr>
  <dimension ref="A1:I2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1.44140625" customWidth="1"/>
    <col min="2" max="2" width="16.21875" customWidth="1"/>
    <col min="3" max="3" width="11.21875" customWidth="1"/>
    <col min="4" max="4" width="32.6640625" customWidth="1"/>
    <col min="5" max="5" width="18.77734375" customWidth="1"/>
    <col min="6" max="6" width="33.21875" customWidth="1"/>
    <col min="7" max="7" width="43.33203125" customWidth="1"/>
    <col min="8" max="9" width="11.21875" customWidth="1"/>
  </cols>
  <sheetData>
    <row r="1" spans="1:9" x14ac:dyDescent="0.25">
      <c r="A1" s="21" t="s">
        <v>720</v>
      </c>
      <c r="B1" s="21" t="s">
        <v>721</v>
      </c>
      <c r="C1" s="22" t="s">
        <v>722</v>
      </c>
      <c r="D1" s="7" t="s">
        <v>723</v>
      </c>
      <c r="E1" s="6" t="s">
        <v>724</v>
      </c>
      <c r="F1" s="4" t="s">
        <v>725</v>
      </c>
      <c r="G1" s="22" t="s">
        <v>726</v>
      </c>
      <c r="H1" s="6" t="s">
        <v>727</v>
      </c>
      <c r="I1" s="23">
        <v>25</v>
      </c>
    </row>
    <row r="2" spans="1:9" x14ac:dyDescent="0.25">
      <c r="A2" s="24" t="s">
        <v>35</v>
      </c>
      <c r="B2" s="15" t="s">
        <v>20</v>
      </c>
      <c r="C2" s="15" t="b">
        <v>0</v>
      </c>
      <c r="D2" s="24" t="s">
        <v>35</v>
      </c>
      <c r="E2" s="12"/>
      <c r="F2" s="25" t="s">
        <v>4265</v>
      </c>
      <c r="G2" s="26" t="s">
        <v>4266</v>
      </c>
      <c r="H2" s="26" t="b">
        <v>0</v>
      </c>
      <c r="I2" s="26"/>
    </row>
    <row r="3" spans="1:9" x14ac:dyDescent="0.25">
      <c r="A3" s="24" t="s">
        <v>19</v>
      </c>
      <c r="B3" s="15" t="s">
        <v>36</v>
      </c>
      <c r="C3" s="15" t="b">
        <v>0</v>
      </c>
      <c r="D3" s="24" t="s">
        <v>19</v>
      </c>
      <c r="E3" s="12"/>
      <c r="F3" s="25" t="s">
        <v>728</v>
      </c>
      <c r="G3" s="26" t="s">
        <v>4267</v>
      </c>
      <c r="H3" s="26" t="b">
        <v>1</v>
      </c>
      <c r="I3" s="26"/>
    </row>
    <row r="4" spans="1:9" x14ac:dyDescent="0.25">
      <c r="A4" s="24" t="s">
        <v>93</v>
      </c>
      <c r="B4" s="15" t="s">
        <v>36</v>
      </c>
      <c r="C4" s="15" t="b">
        <v>0</v>
      </c>
      <c r="D4" s="24" t="s">
        <v>93</v>
      </c>
      <c r="E4" s="12"/>
      <c r="F4" s="25" t="s">
        <v>730</v>
      </c>
      <c r="G4" s="26" t="s">
        <v>4268</v>
      </c>
      <c r="H4" s="26" t="b">
        <v>1</v>
      </c>
      <c r="I4" s="27"/>
    </row>
    <row r="5" spans="1:9" x14ac:dyDescent="0.25">
      <c r="A5" s="24" t="s">
        <v>249</v>
      </c>
      <c r="B5" s="15" t="s">
        <v>20</v>
      </c>
      <c r="C5" s="15" t="b">
        <v>0</v>
      </c>
      <c r="D5" s="24" t="s">
        <v>249</v>
      </c>
      <c r="E5" s="12"/>
      <c r="F5" s="25"/>
      <c r="G5" s="26"/>
      <c r="H5" s="26" t="b">
        <v>0</v>
      </c>
      <c r="I5" s="26"/>
    </row>
    <row r="6" spans="1:9" x14ac:dyDescent="0.25">
      <c r="A6" s="24" t="s">
        <v>70</v>
      </c>
      <c r="B6" s="15" t="s">
        <v>36</v>
      </c>
      <c r="C6" s="15" t="b">
        <v>0</v>
      </c>
      <c r="D6" s="24" t="s">
        <v>70</v>
      </c>
      <c r="E6" s="12"/>
      <c r="F6" s="25" t="s">
        <v>732</v>
      </c>
      <c r="G6" s="26" t="s">
        <v>4269</v>
      </c>
      <c r="H6" s="26" t="b">
        <v>1</v>
      </c>
      <c r="I6" s="26"/>
    </row>
    <row r="7" spans="1:9" x14ac:dyDescent="0.25">
      <c r="A7" s="24" t="s">
        <v>52</v>
      </c>
      <c r="B7" s="15" t="s">
        <v>36</v>
      </c>
      <c r="C7" s="15" t="b">
        <v>0</v>
      </c>
      <c r="D7" s="24" t="s">
        <v>52</v>
      </c>
      <c r="E7" s="12"/>
      <c r="F7" s="25" t="s">
        <v>734</v>
      </c>
      <c r="G7" s="26" t="s">
        <v>4270</v>
      </c>
      <c r="H7" s="26" t="b">
        <v>1</v>
      </c>
      <c r="I7" s="26"/>
    </row>
    <row r="8" spans="1:9" x14ac:dyDescent="0.25">
      <c r="A8" s="24" t="s">
        <v>46</v>
      </c>
      <c r="B8" s="15" t="s">
        <v>20</v>
      </c>
      <c r="C8" s="15" t="b">
        <v>0</v>
      </c>
      <c r="D8" s="24" t="s">
        <v>46</v>
      </c>
      <c r="E8" s="12"/>
      <c r="F8" s="27"/>
      <c r="G8" s="26"/>
      <c r="H8" s="26" t="b">
        <v>0</v>
      </c>
      <c r="I8" s="26"/>
    </row>
    <row r="9" spans="1:9" x14ac:dyDescent="0.25">
      <c r="A9" s="24" t="s">
        <v>58</v>
      </c>
      <c r="B9" s="15" t="s">
        <v>36</v>
      </c>
      <c r="C9" s="15" t="b">
        <v>0</v>
      </c>
      <c r="D9" s="24" t="s">
        <v>58</v>
      </c>
      <c r="E9" s="12"/>
      <c r="F9" s="25" t="s">
        <v>736</v>
      </c>
      <c r="G9" s="26" t="s">
        <v>4271</v>
      </c>
      <c r="H9" s="26" t="b">
        <v>1</v>
      </c>
      <c r="I9" s="26"/>
    </row>
    <row r="10" spans="1:9" x14ac:dyDescent="0.25">
      <c r="A10" s="24" t="s">
        <v>88</v>
      </c>
      <c r="B10" s="15" t="s">
        <v>36</v>
      </c>
      <c r="C10" s="15" t="b">
        <v>0</v>
      </c>
      <c r="D10" s="24" t="s">
        <v>88</v>
      </c>
      <c r="E10" s="12"/>
      <c r="F10" s="25" t="s">
        <v>738</v>
      </c>
      <c r="G10" s="26" t="s">
        <v>4272</v>
      </c>
      <c r="H10" s="26" t="b">
        <v>1</v>
      </c>
      <c r="I10" s="26"/>
    </row>
    <row r="11" spans="1:9" x14ac:dyDescent="0.25">
      <c r="A11" s="24" t="s">
        <v>83</v>
      </c>
      <c r="B11" s="15" t="s">
        <v>36</v>
      </c>
      <c r="C11" s="15" t="b">
        <v>0</v>
      </c>
      <c r="D11" s="24" t="s">
        <v>83</v>
      </c>
      <c r="E11" s="12"/>
      <c r="F11" s="25" t="s">
        <v>740</v>
      </c>
      <c r="G11" s="26" t="s">
        <v>4273</v>
      </c>
      <c r="H11" s="26" t="b">
        <v>1</v>
      </c>
      <c r="I11" s="26"/>
    </row>
    <row r="12" spans="1:9" x14ac:dyDescent="0.25">
      <c r="A12" s="28" t="s">
        <v>29</v>
      </c>
      <c r="B12" s="15" t="s">
        <v>20</v>
      </c>
      <c r="C12" s="15" t="b">
        <v>0</v>
      </c>
      <c r="D12" s="28" t="s">
        <v>29</v>
      </c>
      <c r="E12" s="12"/>
      <c r="F12" s="25" t="s">
        <v>4274</v>
      </c>
      <c r="G12" s="26" t="s">
        <v>4275</v>
      </c>
      <c r="H12" s="26" t="b">
        <v>0</v>
      </c>
      <c r="I12" s="26"/>
    </row>
    <row r="13" spans="1:9" x14ac:dyDescent="0.25">
      <c r="A13" s="24" t="s">
        <v>108</v>
      </c>
      <c r="B13" s="15" t="s">
        <v>36</v>
      </c>
      <c r="C13" s="15" t="b">
        <v>0</v>
      </c>
      <c r="D13" s="24" t="s">
        <v>108</v>
      </c>
      <c r="E13" s="12"/>
      <c r="F13" s="25" t="s">
        <v>742</v>
      </c>
      <c r="G13" s="26" t="s">
        <v>4276</v>
      </c>
      <c r="H13" s="26" t="b">
        <v>1</v>
      </c>
      <c r="I13" s="26"/>
    </row>
    <row r="14" spans="1:9" x14ac:dyDescent="0.25">
      <c r="A14" s="24" t="s">
        <v>589</v>
      </c>
      <c r="B14" s="15" t="s">
        <v>20</v>
      </c>
      <c r="C14" s="15" t="b">
        <v>0</v>
      </c>
      <c r="D14" s="24" t="s">
        <v>589</v>
      </c>
      <c r="E14" s="12"/>
      <c r="F14" s="25" t="s">
        <v>4277</v>
      </c>
      <c r="G14" s="26" t="s">
        <v>4278</v>
      </c>
      <c r="H14" s="26" t="b">
        <v>0</v>
      </c>
      <c r="I14" s="26"/>
    </row>
    <row r="15" spans="1:9" x14ac:dyDescent="0.25">
      <c r="A15" s="24" t="s">
        <v>163</v>
      </c>
      <c r="B15" s="15" t="s">
        <v>20</v>
      </c>
      <c r="C15" s="15" t="b">
        <v>0</v>
      </c>
      <c r="D15" s="24" t="s">
        <v>163</v>
      </c>
      <c r="E15" s="12"/>
      <c r="F15" s="25" t="s">
        <v>4279</v>
      </c>
      <c r="G15" s="26" t="s">
        <v>4280</v>
      </c>
      <c r="H15" s="26" t="b">
        <v>0</v>
      </c>
      <c r="I15" s="26"/>
    </row>
    <row r="16" spans="1:9" x14ac:dyDescent="0.25">
      <c r="A16" s="24" t="s">
        <v>174</v>
      </c>
      <c r="B16" s="15" t="s">
        <v>36</v>
      </c>
      <c r="C16" s="15" t="b">
        <v>0</v>
      </c>
      <c r="D16" s="24" t="s">
        <v>174</v>
      </c>
      <c r="E16" s="12"/>
      <c r="F16" s="25" t="s">
        <v>744</v>
      </c>
      <c r="G16" s="26" t="s">
        <v>4281</v>
      </c>
      <c r="H16" s="26" t="b">
        <v>1</v>
      </c>
      <c r="I16" s="26"/>
    </row>
    <row r="17" spans="1:9" x14ac:dyDescent="0.25">
      <c r="A17" s="28" t="s">
        <v>315</v>
      </c>
      <c r="B17" s="15" t="s">
        <v>20</v>
      </c>
      <c r="C17" s="15" t="b">
        <v>0</v>
      </c>
      <c r="D17" s="28" t="s">
        <v>315</v>
      </c>
      <c r="E17" s="12"/>
      <c r="F17" s="25" t="s">
        <v>4282</v>
      </c>
      <c r="G17" s="26" t="s">
        <v>4283</v>
      </c>
      <c r="H17" s="26" t="b">
        <v>0</v>
      </c>
      <c r="I17" s="26"/>
    </row>
    <row r="18" spans="1:9" x14ac:dyDescent="0.25">
      <c r="A18" s="28" t="s">
        <v>199</v>
      </c>
      <c r="B18" s="15" t="s">
        <v>20</v>
      </c>
      <c r="C18" s="15" t="b">
        <v>0</v>
      </c>
      <c r="D18" s="28" t="s">
        <v>199</v>
      </c>
      <c r="E18" s="12"/>
      <c r="F18" s="25" t="s">
        <v>4284</v>
      </c>
      <c r="G18" s="26" t="s">
        <v>4285</v>
      </c>
      <c r="H18" s="26" t="b">
        <v>0</v>
      </c>
      <c r="I18" s="26"/>
    </row>
    <row r="19" spans="1:9" x14ac:dyDescent="0.25">
      <c r="A19" s="24" t="s">
        <v>746</v>
      </c>
      <c r="B19" s="15" t="s">
        <v>20</v>
      </c>
      <c r="C19" s="15" t="b">
        <v>0</v>
      </c>
      <c r="D19" s="24" t="s">
        <v>746</v>
      </c>
      <c r="E19" s="12"/>
      <c r="F19" s="25"/>
      <c r="G19" s="26"/>
      <c r="H19" s="26" t="b">
        <v>0</v>
      </c>
      <c r="I19" s="26"/>
    </row>
    <row r="20" spans="1:9" x14ac:dyDescent="0.25">
      <c r="A20" s="24" t="s">
        <v>235</v>
      </c>
      <c r="B20" s="15" t="s">
        <v>20</v>
      </c>
      <c r="C20" s="15" t="b">
        <v>0</v>
      </c>
      <c r="D20" s="24" t="s">
        <v>235</v>
      </c>
      <c r="E20" s="12"/>
      <c r="F20" s="25" t="s">
        <v>4286</v>
      </c>
      <c r="G20" s="26" t="s">
        <v>4287</v>
      </c>
      <c r="H20" s="26" t="b">
        <v>0</v>
      </c>
      <c r="I20" s="26"/>
    </row>
    <row r="21" spans="1:9" x14ac:dyDescent="0.25">
      <c r="A21" s="24" t="s">
        <v>333</v>
      </c>
      <c r="B21" s="15" t="s">
        <v>20</v>
      </c>
      <c r="C21" s="15" t="b">
        <v>0</v>
      </c>
      <c r="D21" s="24" t="s">
        <v>333</v>
      </c>
      <c r="E21" s="12"/>
      <c r="F21" s="25" t="s">
        <v>4288</v>
      </c>
      <c r="G21" s="26" t="s">
        <v>4289</v>
      </c>
      <c r="H21" s="26" t="b">
        <v>0</v>
      </c>
      <c r="I21" s="26"/>
    </row>
    <row r="22" spans="1:9" x14ac:dyDescent="0.25">
      <c r="A22" s="24" t="s">
        <v>747</v>
      </c>
      <c r="B22" s="15" t="s">
        <v>20</v>
      </c>
      <c r="C22" s="15" t="b">
        <v>0</v>
      </c>
      <c r="D22" s="24" t="s">
        <v>747</v>
      </c>
      <c r="E22" s="12"/>
      <c r="F22" s="25" t="s">
        <v>4290</v>
      </c>
      <c r="G22" s="26" t="s">
        <v>4291</v>
      </c>
      <c r="H22" s="26" t="b">
        <v>0</v>
      </c>
      <c r="I22" s="26"/>
    </row>
    <row r="23" spans="1:9" x14ac:dyDescent="0.25">
      <c r="A23" s="24" t="s">
        <v>3544</v>
      </c>
      <c r="B23" s="15" t="s">
        <v>20</v>
      </c>
      <c r="C23" s="15" t="b">
        <v>0</v>
      </c>
      <c r="D23" s="24" t="s">
        <v>3544</v>
      </c>
      <c r="E23" s="12"/>
      <c r="F23" s="25"/>
      <c r="G23" s="26"/>
      <c r="H23" s="26" t="b">
        <v>0</v>
      </c>
      <c r="I23" s="26"/>
    </row>
    <row r="24" spans="1:9" x14ac:dyDescent="0.25">
      <c r="A24" s="24" t="s">
        <v>697</v>
      </c>
      <c r="B24" s="15" t="s">
        <v>36</v>
      </c>
      <c r="C24" s="15" t="b">
        <v>0</v>
      </c>
      <c r="D24" s="29" t="s">
        <v>697</v>
      </c>
      <c r="E24" s="12"/>
      <c r="F24" s="25" t="s">
        <v>748</v>
      </c>
      <c r="G24" s="26" t="s">
        <v>828</v>
      </c>
      <c r="H24" s="26" t="b">
        <v>1</v>
      </c>
      <c r="I24" s="26"/>
    </row>
    <row r="25" spans="1:9" x14ac:dyDescent="0.25">
      <c r="A25" s="24" t="s">
        <v>683</v>
      </c>
      <c r="B25" s="15" t="s">
        <v>36</v>
      </c>
      <c r="C25" s="15" t="b">
        <v>0</v>
      </c>
      <c r="D25" s="24" t="s">
        <v>683</v>
      </c>
      <c r="E25" s="12"/>
      <c r="F25" s="25" t="s">
        <v>750</v>
      </c>
      <c r="G25" s="26" t="s">
        <v>4292</v>
      </c>
      <c r="H25" s="26" t="b">
        <v>1</v>
      </c>
      <c r="I25" s="26"/>
    </row>
  </sheetData>
  <dataValidations count="2">
    <dataValidation type="list" allowBlank="1" sqref="B2:B25" xr:uid="{00000000-0002-0000-0B00-000000000000}">
      <formula1>"да,нет"</formula1>
    </dataValidation>
    <dataValidation type="list" allowBlank="1" showErrorMessage="1" sqref="E2:E25" xr:uid="{00000000-0002-0000-0B00-000001000000}">
      <formula1>"да,нет"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26"/>
  <sheetViews>
    <sheetView workbookViewId="0"/>
  </sheetViews>
  <sheetFormatPr defaultColWidth="12.6640625" defaultRowHeight="15.75" customHeight="1" x14ac:dyDescent="0.25"/>
  <cols>
    <col min="1" max="1" width="59.44140625" customWidth="1"/>
    <col min="3" max="3" width="17.21875" customWidth="1"/>
    <col min="4" max="4" width="22.44140625" customWidth="1"/>
    <col min="5" max="5" width="15.88671875" customWidth="1"/>
    <col min="6" max="6" width="17.21875" customWidth="1"/>
    <col min="7" max="7" width="22.44140625" customWidth="1"/>
    <col min="8" max="9" width="2.6640625" customWidth="1"/>
  </cols>
  <sheetData>
    <row r="1" spans="1:12" x14ac:dyDescent="0.25">
      <c r="A1" s="106" t="s">
        <v>4293</v>
      </c>
      <c r="B1" s="107"/>
      <c r="C1" s="106" t="s">
        <v>4294</v>
      </c>
      <c r="D1" s="106" t="s">
        <v>4295</v>
      </c>
      <c r="E1" s="107"/>
      <c r="F1" s="106" t="s">
        <v>4296</v>
      </c>
      <c r="G1" s="106" t="s">
        <v>4297</v>
      </c>
      <c r="K1" s="46"/>
      <c r="L1" s="46"/>
    </row>
    <row r="2" spans="1:12" x14ac:dyDescent="0.25">
      <c r="A2" s="106" t="s">
        <v>4298</v>
      </c>
      <c r="B2" s="107"/>
      <c r="C2" s="106"/>
      <c r="D2" s="108"/>
      <c r="E2" s="107"/>
      <c r="F2" s="106"/>
      <c r="G2" s="108"/>
      <c r="K2" s="46"/>
      <c r="L2" s="46"/>
    </row>
    <row r="3" spans="1:12" x14ac:dyDescent="0.25">
      <c r="A3" s="106" t="s">
        <v>4299</v>
      </c>
      <c r="B3" s="107"/>
      <c r="C3" s="106"/>
      <c r="D3" s="108"/>
      <c r="E3" s="107"/>
      <c r="F3" s="106"/>
      <c r="K3" s="46"/>
      <c r="L3" s="46"/>
    </row>
    <row r="4" spans="1:12" x14ac:dyDescent="0.25">
      <c r="A4" s="106" t="s">
        <v>4300</v>
      </c>
      <c r="B4" s="107"/>
      <c r="C4" s="106"/>
      <c r="D4" s="106"/>
      <c r="E4" s="107"/>
      <c r="F4" s="106"/>
      <c r="G4" s="106"/>
      <c r="K4" s="46"/>
      <c r="L4" s="46"/>
    </row>
    <row r="5" spans="1:12" x14ac:dyDescent="0.25">
      <c r="A5" s="106" t="s">
        <v>4301</v>
      </c>
      <c r="B5" s="107"/>
      <c r="C5" s="106"/>
      <c r="D5" s="106"/>
      <c r="E5" s="107"/>
      <c r="G5" s="106"/>
      <c r="K5" s="46"/>
      <c r="L5" s="46"/>
    </row>
    <row r="6" spans="1:12" x14ac:dyDescent="0.25">
      <c r="A6" s="106" t="s">
        <v>4302</v>
      </c>
      <c r="B6" s="107"/>
      <c r="C6" s="106"/>
      <c r="D6" s="106"/>
      <c r="E6" s="107"/>
      <c r="F6" s="106"/>
      <c r="G6" s="106"/>
      <c r="K6" s="46"/>
      <c r="L6" s="46"/>
    </row>
    <row r="7" spans="1:12" x14ac:dyDescent="0.25">
      <c r="A7" s="106" t="s">
        <v>4303</v>
      </c>
      <c r="B7" s="107"/>
      <c r="C7" s="108"/>
      <c r="D7" s="106"/>
      <c r="E7" s="107"/>
      <c r="F7" s="108"/>
      <c r="G7" s="106"/>
      <c r="K7" s="46"/>
      <c r="L7" s="46"/>
    </row>
    <row r="8" spans="1:12" x14ac:dyDescent="0.25">
      <c r="A8" s="106" t="s">
        <v>4304</v>
      </c>
      <c r="B8" s="107"/>
      <c r="C8" s="106"/>
      <c r="D8" s="106"/>
      <c r="E8" s="107"/>
      <c r="F8" s="106"/>
      <c r="G8" s="106"/>
      <c r="K8" s="46"/>
      <c r="L8" s="46"/>
    </row>
    <row r="9" spans="1:12" x14ac:dyDescent="0.25">
      <c r="A9" s="106" t="s">
        <v>4305</v>
      </c>
      <c r="B9" s="107"/>
      <c r="C9" s="108"/>
      <c r="D9" s="106"/>
      <c r="E9" s="107"/>
      <c r="F9" s="106"/>
      <c r="G9" s="106"/>
      <c r="K9" s="46"/>
      <c r="L9" s="46"/>
    </row>
    <row r="10" spans="1:12" x14ac:dyDescent="0.25">
      <c r="A10" s="106" t="s">
        <v>4306</v>
      </c>
      <c r="B10" s="107"/>
      <c r="C10" s="106"/>
      <c r="D10" s="106"/>
      <c r="E10" s="107"/>
      <c r="F10" s="106"/>
      <c r="G10" s="106"/>
      <c r="K10" s="46"/>
      <c r="L10" s="46"/>
    </row>
    <row r="11" spans="1:12" x14ac:dyDescent="0.25">
      <c r="A11" s="106" t="s">
        <v>4307</v>
      </c>
      <c r="B11" s="107"/>
      <c r="C11" s="106"/>
      <c r="D11" s="106"/>
      <c r="E11" s="107"/>
      <c r="F11" s="106"/>
      <c r="G11" s="106"/>
      <c r="K11" s="46"/>
      <c r="L11" s="46"/>
    </row>
    <row r="12" spans="1:12" x14ac:dyDescent="0.25">
      <c r="A12" s="106" t="s">
        <v>4308</v>
      </c>
      <c r="B12" s="107"/>
      <c r="C12" s="106"/>
      <c r="D12" s="106"/>
      <c r="E12" s="107"/>
      <c r="F12" s="106"/>
      <c r="G12" s="106"/>
      <c r="K12" s="46"/>
      <c r="L12" s="46"/>
    </row>
    <row r="13" spans="1:12" x14ac:dyDescent="0.25">
      <c r="A13" s="106" t="s">
        <v>4309</v>
      </c>
      <c r="B13" s="107"/>
      <c r="C13" s="106"/>
      <c r="D13" s="106"/>
      <c r="E13" s="107"/>
      <c r="F13" s="106"/>
      <c r="G13" s="106"/>
      <c r="K13" s="46"/>
      <c r="L13" s="46"/>
    </row>
    <row r="14" spans="1:12" x14ac:dyDescent="0.25">
      <c r="A14" s="106" t="s">
        <v>4310</v>
      </c>
      <c r="B14" s="107"/>
      <c r="C14" s="106"/>
      <c r="D14" s="106"/>
      <c r="E14" s="107"/>
      <c r="F14" s="106"/>
      <c r="G14" s="106"/>
      <c r="K14" s="46"/>
      <c r="L14" s="46"/>
    </row>
    <row r="15" spans="1:12" x14ac:dyDescent="0.25">
      <c r="A15" s="106" t="s">
        <v>4311</v>
      </c>
      <c r="B15" s="107"/>
      <c r="C15" s="106"/>
      <c r="D15" s="106"/>
      <c r="E15" s="107"/>
      <c r="F15" s="106"/>
      <c r="G15" s="106"/>
      <c r="K15" s="46"/>
      <c r="L15" s="46"/>
    </row>
    <row r="16" spans="1:12" x14ac:dyDescent="0.25">
      <c r="A16" s="106" t="s">
        <v>4312</v>
      </c>
      <c r="B16" s="107"/>
      <c r="C16" s="106"/>
      <c r="D16" s="106"/>
      <c r="E16" s="107"/>
      <c r="F16" s="106"/>
      <c r="G16" s="106"/>
      <c r="K16" s="46"/>
      <c r="L16" s="46"/>
    </row>
    <row r="17" spans="1:12" x14ac:dyDescent="0.25">
      <c r="A17" s="106" t="s">
        <v>4313</v>
      </c>
      <c r="B17" s="107"/>
      <c r="C17" s="106"/>
      <c r="D17" s="106"/>
      <c r="E17" s="107"/>
      <c r="F17" s="106"/>
      <c r="G17" s="106"/>
      <c r="K17" s="46"/>
      <c r="L17" s="46"/>
    </row>
    <row r="18" spans="1:12" x14ac:dyDescent="0.25">
      <c r="A18" s="106" t="s">
        <v>4314</v>
      </c>
      <c r="B18" s="107"/>
      <c r="C18" s="106"/>
      <c r="D18" s="106"/>
      <c r="E18" s="107"/>
      <c r="F18" s="106"/>
      <c r="G18" s="106"/>
      <c r="K18" s="46"/>
      <c r="L18" s="46"/>
    </row>
    <row r="19" spans="1:12" x14ac:dyDescent="0.25">
      <c r="A19" s="106" t="s">
        <v>4315</v>
      </c>
      <c r="B19" s="107"/>
      <c r="C19" s="106"/>
      <c r="D19" s="106"/>
      <c r="E19" s="107"/>
      <c r="F19" s="106"/>
      <c r="G19" s="106"/>
      <c r="K19" s="46"/>
      <c r="L19" s="46"/>
    </row>
    <row r="20" spans="1:12" x14ac:dyDescent="0.25">
      <c r="A20" s="106" t="s">
        <v>4316</v>
      </c>
      <c r="B20" s="107"/>
      <c r="C20" s="106"/>
      <c r="D20" s="106"/>
      <c r="E20" s="107"/>
      <c r="F20" s="106"/>
      <c r="G20" s="106"/>
      <c r="K20" s="46"/>
      <c r="L20" s="46"/>
    </row>
    <row r="21" spans="1:12" x14ac:dyDescent="0.25">
      <c r="A21" s="106" t="s">
        <v>4317</v>
      </c>
      <c r="B21" s="107"/>
      <c r="C21" s="106"/>
      <c r="D21" s="106"/>
      <c r="E21" s="107"/>
      <c r="F21" s="106"/>
      <c r="G21" s="106"/>
      <c r="K21" s="46"/>
      <c r="L21" s="46"/>
    </row>
    <row r="22" spans="1:12" x14ac:dyDescent="0.25">
      <c r="A22" s="106" t="s">
        <v>4318</v>
      </c>
      <c r="B22" s="107"/>
      <c r="C22" s="106"/>
      <c r="D22" s="106"/>
      <c r="E22" s="107"/>
      <c r="F22" s="106"/>
      <c r="G22" s="106"/>
      <c r="K22" s="46"/>
      <c r="L22" s="46"/>
    </row>
    <row r="23" spans="1:12" x14ac:dyDescent="0.25">
      <c r="A23" s="106" t="s">
        <v>4319</v>
      </c>
      <c r="B23" s="107"/>
      <c r="C23" s="106"/>
      <c r="D23" s="106"/>
      <c r="E23" s="107"/>
      <c r="F23" s="106"/>
      <c r="G23" s="106"/>
      <c r="K23" s="46"/>
      <c r="L23" s="46"/>
    </row>
    <row r="24" spans="1:12" x14ac:dyDescent="0.25">
      <c r="A24" s="106" t="s">
        <v>4320</v>
      </c>
      <c r="B24" s="107"/>
      <c r="C24" s="106"/>
      <c r="D24" s="106"/>
      <c r="E24" s="107"/>
      <c r="F24" s="106"/>
      <c r="G24" s="106"/>
      <c r="K24" s="46"/>
      <c r="L24" s="46"/>
    </row>
    <row r="25" spans="1:12" x14ac:dyDescent="0.25">
      <c r="A25" s="106" t="s">
        <v>4321</v>
      </c>
      <c r="B25" s="107"/>
      <c r="C25" s="106"/>
      <c r="D25" s="106"/>
      <c r="E25" s="107"/>
      <c r="F25" s="107"/>
      <c r="G25" s="107"/>
      <c r="K25" s="46"/>
      <c r="L25" s="46"/>
    </row>
    <row r="26" spans="1:12" x14ac:dyDescent="0.25">
      <c r="A26" s="106" t="s">
        <v>4322</v>
      </c>
      <c r="B26" s="107"/>
      <c r="C26" s="107"/>
      <c r="D26" s="107"/>
      <c r="E26" s="107"/>
      <c r="F26" s="107"/>
      <c r="G26" s="107"/>
      <c r="K26" s="46"/>
      <c r="L26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Сотрудники КЭР</vt:lpstr>
      <vt:lpstr>Сотрудники УЭС</vt:lpstr>
      <vt:lpstr>Сотрудники КАРНО</vt:lpstr>
      <vt:lpstr>Сотрудники АЙВИС</vt:lpstr>
      <vt:lpstr>Внештаные сотрудники</vt:lpstr>
      <vt:lpstr>Совместительство</vt:lpstr>
      <vt:lpstr>Отделы</vt:lpstr>
      <vt:lpstr>Список книг</vt:lpstr>
      <vt:lpstr>Список контрагентов</vt:lpstr>
      <vt:lpstr>temp</vt:lpstr>
      <vt:lpstr>old Отделы 2020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Ильмир Х. Кияметдинов</cp:lastModifiedBy>
  <dcterms:modified xsi:type="dcterms:W3CDTF">2022-04-14T09:14:05Z</dcterms:modified>
</cp:coreProperties>
</file>